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FACTURE-PROFORMA" sheetId="1" state="visible" r:id="rId1"/>
    <sheet name="BASE CLIENTS" sheetId="2" state="visible" r:id="rId2"/>
    <sheet name="BASE ARTICLES" sheetId="3" state="visible" r:id="rId3"/>
    <sheet name="ENTREES STOCK" sheetId="4" state="visible" r:id="rId4"/>
    <sheet name="HISTORIQUE DOCS" sheetId="5" state="visible" r:id="rId5"/>
    <sheet name="JOURNAL STOCK" sheetId="6" state="visible" r:id="rId6"/>
    <sheet name="TABLEAU DE BORD" sheetId="7" state="visible" r:id="rId7"/>
    <sheet name="PARAMETRES" sheetId="8" state="visible" r:id="rId8"/>
  </sheets>
  <definedNames>
    <definedName name="_xlnm.Print_Area" localSheetId="0">'FACTURE-PROFORMA'!$A$1:$F$34</definedName>
    <definedName name="_xlnm._FilterDatabase" localSheetId="1" hidden="1">'BASE CLIENTS'!$A$3:$M$500</definedName>
    <definedName name="_xlnm.Print_Titles" localSheetId="1">'BASE CLIENTS'!$1:$3</definedName>
    <definedName name="_xlnm._FilterDatabase" localSheetId="2" hidden="1">'BASE ARTICLES'!$A$3:$P$500</definedName>
    <definedName name="_xlnm.Print_Titles" localSheetId="2">'BASE ARTICLES'!$1:$3</definedName>
    <definedName name="_xlnm._FilterDatabase" localSheetId="3" hidden="1">'ENTREES STOCK'!$D$3:$L$500</definedName>
    <definedName name="_xlnm.Print_Titles" localSheetId="3">'ENTREES STOCK'!$1:$3</definedName>
    <definedName name="_xlnm._FilterDatabase" localSheetId="4" hidden="1">'HISTORIQUE DOCS'!$A$3:$P$1000</definedName>
    <definedName name="_xlnm.Print_Titles" localSheetId="4">'HISTORIQUE DOCS'!$1:$3</definedName>
    <definedName name="_xlnm._FilterDatabase" localSheetId="5" hidden="1">'JOURNAL STOCK'!$A$3:$J$500</definedName>
    <definedName name="_xlnm.Print_Titles" localSheetId="5">'JOURNAL STOCK'!$1:$3</definedName>
    <definedName name="_xlnm.Print_Area" localSheetId="6">'TABLEAU DE BORD'!$A$1:$H$8</definedName>
    <definedName name="_xlnm.Print_Area" localSheetId="7">'PARAMETRES'!$A$1:$B$18</definedName>
  </definedNames>
</workbook>
</file>

<file path=xl/styles.xml><?xml version="1.0" encoding="utf-8"?>
<styleSheet xmlns="http://schemas.openxmlformats.org/spreadsheetml/2006/main">
  <numFmts count="3">
    <numFmt numFmtId="164" formatCode="$#,##0.00"/>
    <numFmt numFmtId="165" formatCode="dd/mm/yyyy"/>
    <numFmt numFmtId="166" formatCode="yyyy-mm-dd h:mm:ss"/>
  </numFmts>
  <fonts count="26">
    <font>
      <name val="Carlito"/>
      <sz val="11"/>
    </font>
    <font>
      <name val="Carlito"/>
      <b val="1"/>
      <color rgb="FFFFFFFF"/>
      <sz val="16"/>
    </font>
    <font>
      <name val="Carlito"/>
      <b val="1"/>
      <color rgb="FFFFFFFF"/>
      <sz val="11"/>
    </font>
    <font>
      <name val="Carlito"/>
      <b val="1"/>
      <color rgb="FFFFFFFF"/>
      <sz val="13"/>
    </font>
    <font>
      <name val="Carlito"/>
      <color rgb="FF111111"/>
      <sz val="11"/>
    </font>
    <font>
      <name val="Carlito"/>
      <b val="1"/>
      <color rgb="FF111111"/>
      <sz val="20"/>
    </font>
    <font>
      <name val="Carlito"/>
      <color rgb="FF111111"/>
      <sz val="9"/>
    </font>
    <font>
      <name val="Carlito"/>
      <i val="1"/>
      <color rgb="FF4B5563"/>
      <sz val="9"/>
    </font>
    <font>
      <name val="Carlito"/>
      <b val="1"/>
      <color rgb="FF111111"/>
      <sz val="11"/>
    </font>
    <font>
      <name val="Carlito"/>
      <b val="1"/>
      <color rgb="FFD71920"/>
      <sz val="22"/>
    </font>
    <font>
      <name val="Carlito"/>
      <b val="1"/>
      <color rgb="FFFFFFFF"/>
      <sz val="12"/>
    </font>
    <font>
      <name val="Carlito"/>
      <i val="1"/>
      <color rgb="FF9A3412"/>
      <sz val="9"/>
    </font>
    <font>
      <name val="Calibri"/>
      <b val="1"/>
      <color rgb="00D71920"/>
      <sz val="14"/>
    </font>
    <font>
      <name val="Calibri"/>
      <color rgb="004B5563"/>
      <sz val="7.5"/>
    </font>
    <font>
      <name val="Calibri"/>
      <i val="1"/>
      <color rgb="006B7280"/>
      <sz val="8"/>
    </font>
    <font>
      <name val="Calibri"/>
      <b val="1"/>
      <color rgb="00FFFFFF"/>
      <sz val="14"/>
    </font>
    <font>
      <name val="Calibri"/>
      <b val="1"/>
      <color rgb="00FFFFFF"/>
      <sz val="8"/>
    </font>
    <font>
      <name val="Calibri"/>
      <color rgb="00111111"/>
      <sz val="9"/>
    </font>
    <font>
      <name val="Calibri"/>
      <b val="1"/>
      <color rgb="00111111"/>
      <sz val="9"/>
    </font>
    <font>
      <name val="Calibri"/>
      <b val="1"/>
      <color rgb="00FFFFFF"/>
      <sz val="9"/>
    </font>
    <font>
      <name val="Calibri"/>
      <color rgb="004B5563"/>
      <sz val="8"/>
    </font>
    <font>
      <name val="Calibri"/>
      <b val="1"/>
      <color rgb="00FFFFFF"/>
      <sz val="10"/>
    </font>
    <font>
      <name val="Calibri"/>
      <b val="1"/>
      <color rgb="00111111"/>
      <sz val="8"/>
    </font>
    <font>
      <name val="Calibri"/>
      <color rgb="006B7280"/>
      <sz val="7"/>
    </font>
    <font>
      <name val="Calibri"/>
      <i val="1"/>
      <color rgb="004B5563"/>
      <sz val="8"/>
    </font>
    <font>
      <name val="Calibri"/>
      <color rgb="009A3412"/>
      <sz val="8"/>
    </font>
  </fonts>
  <fills count="15">
    <fill>
      <patternFill/>
    </fill>
    <fill>
      <patternFill patternType="gray125"/>
    </fill>
    <fill>
      <patternFill patternType="solid">
        <fgColor rgb="FF111111"/>
      </patternFill>
    </fill>
    <fill>
      <patternFill patternType="solid">
        <fgColor rgb="FFD71920"/>
      </patternFill>
    </fill>
    <fill>
      <patternFill patternType="solid">
        <fgColor rgb="FFF5F5F5"/>
      </patternFill>
    </fill>
    <fill>
      <patternFill patternType="solid">
        <fgColor rgb="FFFFFFFF"/>
      </patternFill>
    </fill>
    <fill>
      <patternFill patternType="solid">
        <fgColor rgb="FF6B7280"/>
      </patternFill>
    </fill>
    <fill>
      <patternFill patternType="solid">
        <fgColor rgb="FFFFF7ED"/>
      </patternFill>
    </fill>
    <fill>
      <patternFill patternType="solid">
        <fgColor rgb="00D71920"/>
      </patternFill>
    </fill>
    <fill>
      <patternFill patternType="solid">
        <fgColor rgb="00111111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6B7280"/>
      </patternFill>
    </fill>
    <fill>
      <patternFill patternType="solid">
        <fgColor rgb="00FFF7ED"/>
      </patternFill>
    </fill>
    <fill>
      <patternFill patternType="solid">
        <fgColor rgb="004B5563"/>
      </patternFill>
    </fill>
  </fills>
  <borders count="3">
    <border/>
    <border/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1"/>
  </cellStyleXfs>
  <cellXfs count="176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vertical="center" wrapText="1"/>
    </xf>
    <xf numFmtId="9" fontId="0" fillId="0" borderId="0" pivotButton="0" quotePrefix="0" xfId="0"/>
    <xf numFmtId="9" fontId="0" fillId="0" borderId="1" pivotButton="0" quotePrefix="0" xfId="0"/>
    <xf numFmtId="0" fontId="3" fillId="3" borderId="0" pivotButton="0" quotePrefix="0" xfId="0"/>
    <xf numFmtId="0" fontId="3" fillId="3" borderId="0" applyAlignment="1" pivotButton="0" quotePrefix="0" xfId="0">
      <alignment horizontal="left"/>
    </xf>
    <xf numFmtId="0" fontId="3" fillId="3" borderId="0" applyAlignment="1" pivotButton="0" quotePrefix="0" xfId="0">
      <alignment horizontal="left" vertical="center"/>
    </xf>
    <xf numFmtId="0" fontId="3" fillId="3" borderId="1" pivotButton="0" quotePrefix="0" xfId="0"/>
    <xf numFmtId="0" fontId="3" fillId="3" borderId="1" applyAlignment="1" pivotButton="0" quotePrefix="0" xfId="0">
      <alignment horizontal="left"/>
    </xf>
    <xf numFmtId="0" fontId="3" fillId="3" borderId="1" applyAlignment="1" pivotButton="0" quotePrefix="0" xfId="0">
      <alignment horizontal="left" vertical="center"/>
    </xf>
    <xf numFmtId="0" fontId="0" fillId="4" borderId="0" pivotButton="0" quotePrefix="0" xfId="0"/>
    <xf numFmtId="0" fontId="4" fillId="4" borderId="0" pivotButton="0" quotePrefix="0" xfId="0"/>
    <xf numFmtId="0" fontId="4" fillId="4" borderId="0" applyAlignment="1" pivotButton="0" quotePrefix="0" xfId="0">
      <alignment wrapText="1"/>
    </xf>
    <xf numFmtId="0" fontId="4" fillId="4" borderId="0" applyAlignment="1" pivotButton="0" quotePrefix="0" xfId="0">
      <alignment vertical="center" wrapText="1"/>
    </xf>
    <xf numFmtId="0" fontId="0" fillId="4" borderId="1" pivotButton="0" quotePrefix="0" xfId="0"/>
    <xf numFmtId="0" fontId="4" fillId="4" borderId="1" pivotButton="0" quotePrefix="0" xfId="0"/>
    <xf numFmtId="0" fontId="4" fillId="4" borderId="1" applyAlignment="1" pivotButton="0" quotePrefix="0" xfId="0">
      <alignment wrapText="1"/>
    </xf>
    <xf numFmtId="0" fontId="4" fillId="4" borderId="1" applyAlignment="1" pivotButton="0" quotePrefix="0" xfId="0">
      <alignment vertical="center" wrapText="1"/>
    </xf>
    <xf numFmtId="164" fontId="0" fillId="0" borderId="0" pivotButton="0" quotePrefix="0" xfId="0"/>
    <xf numFmtId="164" fontId="0" fillId="0" borderId="1" pivotButton="0" quotePrefix="0" xfId="0"/>
    <xf numFmtId="9" fontId="4" fillId="4" borderId="0" applyAlignment="1" pivotButton="0" quotePrefix="0" xfId="0">
      <alignment vertical="center" wrapText="1"/>
    </xf>
    <xf numFmtId="9" fontId="4" fillId="4" borderId="1" applyAlignment="1" pivotButton="0" quotePrefix="0" xfId="0">
      <alignment vertical="center" wrapText="1"/>
    </xf>
    <xf numFmtId="165" fontId="4" fillId="4" borderId="0" applyAlignment="1" pivotButton="0" quotePrefix="0" xfId="0">
      <alignment vertical="center" wrapText="1"/>
    </xf>
    <xf numFmtId="165" fontId="4" fillId="4" borderId="1" applyAlignment="1" pivotButton="0" quotePrefix="0" xfId="0">
      <alignment vertical="center" wrapText="1"/>
    </xf>
    <xf numFmtId="165" fontId="0" fillId="0" borderId="0" pivotButton="0" quotePrefix="0" xfId="0"/>
    <xf numFmtId="165" fontId="0" fillId="0" borderId="1" pivotButton="0" quotePrefix="0" xfId="0"/>
    <xf numFmtId="0" fontId="5" fillId="0" borderId="0" pivotButton="0" quotePrefix="0" xfId="0"/>
    <xf numFmtId="0" fontId="5" fillId="0" borderId="0" applyAlignment="1" pivotButton="0" quotePrefix="0" xfId="0">
      <alignment vertical="center"/>
    </xf>
    <xf numFmtId="0" fontId="5" fillId="0" borderId="1" pivotButton="0" quotePrefix="0" xfId="0"/>
    <xf numFmtId="0" fontId="5" fillId="0" borderId="1" applyAlignment="1" pivotButton="0" quotePrefix="0" xfId="0">
      <alignment vertical="center"/>
    </xf>
    <xf numFmtId="0" fontId="6" fillId="0" borderId="0" pivotButton="0" quotePrefix="0" xfId="0"/>
    <xf numFmtId="0" fontId="6" fillId="0" borderId="0" applyAlignment="1" pivotButton="0" quotePrefix="0" xfId="0">
      <alignment wrapText="1"/>
    </xf>
    <xf numFmtId="0" fontId="6" fillId="0" borderId="0" applyAlignment="1" pivotButton="0" quotePrefix="0" xfId="0">
      <alignment horizontal="right" wrapText="1"/>
    </xf>
    <xf numFmtId="0" fontId="6" fillId="0" borderId="0" applyAlignment="1" pivotButton="0" quotePrefix="0" xfId="0">
      <alignment horizontal="right" vertical="center" wrapText="1"/>
    </xf>
    <xf numFmtId="0" fontId="6" fillId="0" borderId="1" pivotButton="0" quotePrefix="0" xfId="0"/>
    <xf numFmtId="0" fontId="6" fillId="0" borderId="1" applyAlignment="1" pivotButton="0" quotePrefix="0" xfId="0">
      <alignment wrapText="1"/>
    </xf>
    <xf numFmtId="0" fontId="6" fillId="0" borderId="1" applyAlignment="1" pivotButton="0" quotePrefix="0" xfId="0">
      <alignment horizontal="right" wrapText="1"/>
    </xf>
    <xf numFmtId="0" fontId="6" fillId="0" borderId="1" applyAlignment="1" pivotButton="0" quotePrefix="0" xfId="0">
      <alignment horizontal="right" vertical="center" wrapText="1"/>
    </xf>
    <xf numFmtId="0" fontId="7" fillId="0" borderId="0" pivotButton="0" quotePrefix="0" xfId="0"/>
    <xf numFmtId="0" fontId="7" fillId="0" borderId="1" pivotButton="0" quotePrefix="0" xfId="0"/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center" wrapText="1"/>
    </xf>
    <xf numFmtId="0" fontId="8" fillId="4" borderId="1" pivotButton="0" quotePrefix="0" xfId="0"/>
    <xf numFmtId="0" fontId="8" fillId="4" borderId="1" applyAlignment="1" pivotButton="0" quotePrefix="0" xfId="0">
      <alignment wrapText="1"/>
    </xf>
    <xf numFmtId="0" fontId="8" fillId="4" borderId="1" applyAlignment="1" pivotButton="0" quotePrefix="0" xfId="0">
      <alignment vertical="center" wrapText="1"/>
    </xf>
    <xf numFmtId="0" fontId="9" fillId="0" borderId="0" pivotButton="0" quotePrefix="0" xfId="0"/>
    <xf numFmtId="0" fontId="9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 vertical="center"/>
    </xf>
    <xf numFmtId="0" fontId="9" fillId="0" borderId="1" pivotButton="0" quotePrefix="0" xfId="0"/>
    <xf numFmtId="0" fontId="9" fillId="0" borderId="1" applyAlignment="1" pivotButton="0" quotePrefix="0" xfId="0">
      <alignment horizontal="center"/>
    </xf>
    <xf numFmtId="0" fontId="9" fillId="0" borderId="1" applyAlignment="1" pivotButton="0" quotePrefix="0" xfId="0">
      <alignment horizontal="center" vertical="center"/>
    </xf>
    <xf numFmtId="0" fontId="0" fillId="5" borderId="0" pivotButton="0" quotePrefix="0" xfId="0"/>
    <xf numFmtId="0" fontId="4" fillId="5" borderId="0" pivotButton="0" quotePrefix="0" xfId="0"/>
    <xf numFmtId="0" fontId="4" fillId="5" borderId="0" applyAlignment="1" pivotButton="0" quotePrefix="0" xfId="0">
      <alignment wrapText="1"/>
    </xf>
    <xf numFmtId="0" fontId="4" fillId="5" borderId="0" applyAlignment="1" pivotButton="0" quotePrefix="0" xfId="0">
      <alignment vertical="center" wrapText="1"/>
    </xf>
    <xf numFmtId="0" fontId="0" fillId="5" borderId="1" pivotButton="0" quotePrefix="0" xfId="0"/>
    <xf numFmtId="0" fontId="4" fillId="5" borderId="1" pivotButton="0" quotePrefix="0" xfId="0"/>
    <xf numFmtId="0" fontId="4" fillId="5" borderId="1" applyAlignment="1" pivotButton="0" quotePrefix="0" xfId="0">
      <alignment wrapText="1"/>
    </xf>
    <xf numFmtId="0" fontId="4" fillId="5" borderId="1" applyAlignment="1" pivotButton="0" quotePrefix="0" xfId="0">
      <alignment vertical="center" wrapText="1"/>
    </xf>
    <xf numFmtId="164" fontId="4" fillId="5" borderId="0" applyAlignment="1" pivotButton="0" quotePrefix="0" xfId="0">
      <alignment vertical="center" wrapText="1"/>
    </xf>
    <xf numFmtId="164" fontId="4" fillId="5" borderId="1" applyAlignment="1" pivotButton="0" quotePrefix="0" xfId="0">
      <alignment vertical="center" wrapText="1"/>
    </xf>
    <xf numFmtId="9" fontId="4" fillId="5" borderId="0" applyAlignment="1" pivotButton="0" quotePrefix="0" xfId="0">
      <alignment vertical="center" wrapText="1"/>
    </xf>
    <xf numFmtId="9" fontId="4" fillId="5" borderId="1" applyAlignment="1" pivotButton="0" quotePrefix="0" xfId="0">
      <alignment vertical="center" wrapText="1"/>
    </xf>
    <xf numFmtId="164" fontId="4" fillId="3" borderId="0" applyAlignment="1" pivotButton="0" quotePrefix="0" xfId="0">
      <alignment vertical="center" wrapText="1"/>
    </xf>
    <xf numFmtId="0" fontId="10" fillId="3" borderId="0" applyAlignment="1" pivotButton="0" quotePrefix="0" xfId="0">
      <alignment horizontal="center" vertical="center" wrapText="1"/>
    </xf>
    <xf numFmtId="164" fontId="10" fillId="3" borderId="0" applyAlignment="1" pivotButton="0" quotePrefix="0" xfId="0">
      <alignment vertical="center" wrapText="1"/>
    </xf>
    <xf numFmtId="164" fontId="4" fillId="3" borderId="1" applyAlignment="1" pivotButton="0" quotePrefix="0" xfId="0">
      <alignment vertical="center" wrapText="1"/>
    </xf>
    <xf numFmtId="0" fontId="10" fillId="3" borderId="1" applyAlignment="1" pivotButton="0" quotePrefix="0" xfId="0">
      <alignment horizontal="center" vertical="center" wrapText="1"/>
    </xf>
    <xf numFmtId="164" fontId="10" fillId="3" borderId="1" applyAlignment="1" pivotButton="0" quotePrefix="0" xfId="0">
      <alignment vertical="center" wrapText="1"/>
    </xf>
    <xf numFmtId="0" fontId="8" fillId="5" borderId="0" pivotButton="0" quotePrefix="0" xfId="0"/>
    <xf numFmtId="0" fontId="8" fillId="5" borderId="0" applyAlignment="1" pivotButton="0" quotePrefix="0" xfId="0">
      <alignment wrapText="1"/>
    </xf>
    <xf numFmtId="0" fontId="8" fillId="5" borderId="0" applyAlignment="1" pivotButton="0" quotePrefix="0" xfId="0">
      <alignment vertical="center" wrapText="1"/>
    </xf>
    <xf numFmtId="0" fontId="8" fillId="5" borderId="1" pivotButton="0" quotePrefix="0" xfId="0"/>
    <xf numFmtId="0" fontId="8" fillId="5" borderId="1" applyAlignment="1" pivotButton="0" quotePrefix="0" xfId="0">
      <alignment wrapText="1"/>
    </xf>
    <xf numFmtId="0" fontId="8" fillId="5" borderId="1" applyAlignment="1" pivotButton="0" quotePrefix="0" xfId="0">
      <alignment vertical="center" wrapText="1"/>
    </xf>
    <xf numFmtId="0" fontId="2" fillId="2" borderId="0" pivotButton="0" quotePrefix="0" xfId="0"/>
    <xf numFmtId="0" fontId="2" fillId="2" borderId="0" applyAlignment="1" pivotButton="0" quotePrefix="0" xfId="0">
      <alignment wrapText="1"/>
    </xf>
    <xf numFmtId="0" fontId="2" fillId="2" borderId="0" applyAlignment="1" pivotButton="0" quotePrefix="0" xfId="0">
      <alignment horizontal="center" wrapText="1"/>
    </xf>
    <xf numFmtId="0" fontId="2" fillId="2" borderId="0" applyAlignment="1" pivotButton="0" quotePrefix="0" xfId="0">
      <alignment horizontal="center" vertical="center" wrapText="1"/>
    </xf>
    <xf numFmtId="0" fontId="2" fillId="2" borderId="1" pivotButton="0" quotePrefix="0" xfId="0"/>
    <xf numFmtId="0" fontId="2" fillId="2" borderId="1" applyAlignment="1" pivotButton="0" quotePrefix="0" xfId="0">
      <alignment wrapText="1"/>
    </xf>
    <xf numFmtId="0" fontId="2" fillId="2" borderId="1" applyAlignment="1" pivotButton="0" quotePrefix="0" xfId="0">
      <alignment horizontal="center" wrapText="1"/>
    </xf>
    <xf numFmtId="0" fontId="2" fillId="2" borderId="1" applyAlignment="1" pivotButton="0" quotePrefix="0" xfId="0">
      <alignment horizontal="center" vertical="center" wrapText="1"/>
    </xf>
    <xf numFmtId="0" fontId="0" fillId="6" borderId="0" pivotButton="0" quotePrefix="0" xfId="0"/>
    <xf numFmtId="0" fontId="2" fillId="6" borderId="0" pivotButton="0" quotePrefix="0" xfId="0"/>
    <xf numFmtId="0" fontId="2" fillId="6" borderId="0" applyAlignment="1" pivotButton="0" quotePrefix="0" xfId="0">
      <alignment wrapText="1"/>
    </xf>
    <xf numFmtId="0" fontId="2" fillId="6" borderId="0" applyAlignment="1" pivotButton="0" quotePrefix="0" xfId="0">
      <alignment horizontal="center" wrapText="1"/>
    </xf>
    <xf numFmtId="0" fontId="2" fillId="6" borderId="0" applyAlignment="1" pivotButton="0" quotePrefix="0" xfId="0">
      <alignment horizontal="center" vertical="center" wrapText="1"/>
    </xf>
    <xf numFmtId="0" fontId="0" fillId="6" borderId="1" pivotButton="0" quotePrefix="0" xfId="0"/>
    <xf numFmtId="0" fontId="2" fillId="6" borderId="1" pivotButton="0" quotePrefix="0" xfId="0"/>
    <xf numFmtId="0" fontId="2" fillId="6" borderId="1" applyAlignment="1" pivotButton="0" quotePrefix="0" xfId="0">
      <alignment wrapText="1"/>
    </xf>
    <xf numFmtId="0" fontId="2" fillId="6" borderId="1" applyAlignment="1" pivotButton="0" quotePrefix="0" xfId="0">
      <alignment horizontal="center" wrapText="1"/>
    </xf>
    <xf numFmtId="0" fontId="2" fillId="6" borderId="1" applyAlignment="1" pivotButton="0" quotePrefix="0" xfId="0">
      <alignment horizontal="center" vertical="center" wrapText="1"/>
    </xf>
    <xf numFmtId="0" fontId="0" fillId="7" borderId="0" pivotButton="0" quotePrefix="0" xfId="0"/>
    <xf numFmtId="0" fontId="11" fillId="7" borderId="0" pivotButton="0" quotePrefix="0" xfId="0"/>
    <xf numFmtId="0" fontId="11" fillId="7" borderId="0" applyAlignment="1" pivotButton="0" quotePrefix="0" xfId="0">
      <alignment wrapText="1"/>
    </xf>
    <xf numFmtId="0" fontId="0" fillId="7" borderId="1" pivotButton="0" quotePrefix="0" xfId="0"/>
    <xf numFmtId="0" fontId="11" fillId="7" borderId="1" pivotButton="0" quotePrefix="0" xfId="0"/>
    <xf numFmtId="0" fontId="11" fillId="7" borderId="1" applyAlignment="1" pivotButton="0" quotePrefix="0" xfId="0">
      <alignment wrapText="1"/>
    </xf>
    <xf numFmtId="164" fontId="0" fillId="4" borderId="0" pivotButton="0" quotePrefix="0" xfId="0"/>
    <xf numFmtId="164" fontId="4" fillId="4" borderId="0" pivotButton="0" quotePrefix="0" xfId="0"/>
    <xf numFmtId="164" fontId="4" fillId="4" borderId="0" applyAlignment="1" pivotButton="0" quotePrefix="0" xfId="0">
      <alignment wrapText="1"/>
    </xf>
    <xf numFmtId="164" fontId="4" fillId="4" borderId="0" applyAlignment="1" pivotButton="0" quotePrefix="0" xfId="0">
      <alignment vertical="center" wrapText="1"/>
    </xf>
    <xf numFmtId="164" fontId="0" fillId="4" borderId="1" pivotButton="0" quotePrefix="0" xfId="0"/>
    <xf numFmtId="164" fontId="4" fillId="4" borderId="1" pivotButton="0" quotePrefix="0" xfId="0"/>
    <xf numFmtId="164" fontId="4" fillId="4" borderId="1" applyAlignment="1" pivotButton="0" quotePrefix="0" xfId="0">
      <alignment wrapText="1"/>
    </xf>
    <xf numFmtId="164" fontId="4" fillId="4" borderId="1" applyAlignment="1" pivotButton="0" quotePrefix="0" xfId="0">
      <alignment vertical="center" wrapText="1"/>
    </xf>
    <xf numFmtId="0" fontId="12" fillId="0" borderId="1" applyAlignment="1" pivotButton="0" quotePrefix="0" xfId="0">
      <alignment horizontal="left" vertical="center"/>
    </xf>
    <xf numFmtId="0" fontId="13" fillId="0" borderId="1" applyAlignment="1" pivotButton="0" quotePrefix="0" xfId="0">
      <alignment horizontal="right" vertical="center"/>
    </xf>
    <xf numFmtId="0" fontId="19" fillId="9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right" vertical="center"/>
    </xf>
    <xf numFmtId="0" fontId="14" fillId="0" borderId="1" applyAlignment="1" pivotButton="0" quotePrefix="0" xfId="0">
      <alignment horizontal="left" vertical="center"/>
    </xf>
    <xf numFmtId="0" fontId="19" fillId="8" borderId="2" applyAlignment="1" pivotButton="0" quotePrefix="0" xfId="0">
      <alignment horizontal="left" vertical="center" indent="1"/>
    </xf>
    <xf numFmtId="0" fontId="18" fillId="11" borderId="2" applyAlignment="1" applyProtection="1" pivotButton="0" quotePrefix="0" xfId="0">
      <alignment horizontal="center" vertical="center"/>
      <protection locked="0" hidden="0"/>
    </xf>
    <xf numFmtId="0" fontId="0" fillId="8" borderId="1" pivotButton="0" quotePrefix="0" xfId="0"/>
    <xf numFmtId="0" fontId="15" fillId="9" borderId="1" applyAlignment="1" pivotButton="0" quotePrefix="0" xfId="0">
      <alignment horizontal="center" vertical="center"/>
    </xf>
    <xf numFmtId="9" fontId="18" fillId="11" borderId="2" applyAlignment="1" applyProtection="1" pivotButton="0" quotePrefix="0" xfId="0">
      <alignment horizontal="center" vertical="center"/>
      <protection locked="0" hidden="0"/>
    </xf>
    <xf numFmtId="0" fontId="18" fillId="11" borderId="2" applyAlignment="1" pivotButton="0" quotePrefix="0" xfId="0">
      <alignment horizontal="center" vertical="center"/>
    </xf>
    <xf numFmtId="0" fontId="16" fillId="8" borderId="2" applyAlignment="1" pivotButton="0" quotePrefix="0" xfId="0">
      <alignment horizontal="left" vertical="center" indent="1"/>
    </xf>
    <xf numFmtId="0" fontId="18" fillId="10" borderId="2" applyAlignment="1" pivotButton="0" quotePrefix="0" xfId="0">
      <alignment horizontal="left" vertical="center" indent="1"/>
    </xf>
    <xf numFmtId="0" fontId="17" fillId="10" borderId="2" applyAlignment="1" pivotButton="0" quotePrefix="0" xfId="0">
      <alignment horizontal="left" vertical="center" indent="1"/>
    </xf>
    <xf numFmtId="165" fontId="17" fillId="11" borderId="2" applyAlignment="1" applyProtection="1" pivotButton="0" quotePrefix="0" xfId="0">
      <alignment horizontal="center" vertical="center"/>
      <protection locked="0" hidden="0"/>
    </xf>
    <xf numFmtId="1" fontId="18" fillId="11" borderId="2" applyAlignment="1" pivotButton="0" quotePrefix="0" xfId="0">
      <alignment horizontal="center" vertical="center"/>
    </xf>
    <xf numFmtId="0" fontId="17" fillId="11" borderId="2" applyAlignment="1" applyProtection="1" pivotButton="0" quotePrefix="0" xfId="0">
      <alignment horizontal="left" vertical="center" indent="1"/>
      <protection locked="0" hidden="0"/>
    </xf>
    <xf numFmtId="0" fontId="17" fillId="11" borderId="2" applyAlignment="1" applyProtection="1" pivotButton="0" quotePrefix="0" xfId="0">
      <alignment horizontal="center" vertical="center"/>
      <protection locked="0" hidden="0"/>
    </xf>
    <xf numFmtId="0" fontId="19" fillId="12" borderId="1" applyAlignment="1" pivotButton="0" quotePrefix="0" xfId="0">
      <alignment horizontal="left" vertical="center" indent="1"/>
    </xf>
    <xf numFmtId="0" fontId="17" fillId="10" borderId="2" applyAlignment="1" pivotButton="0" quotePrefix="0" xfId="0">
      <alignment horizontal="center" vertical="center"/>
    </xf>
    <xf numFmtId="0" fontId="24" fillId="13" borderId="2" applyAlignment="1" pivotButton="0" quotePrefix="0" xfId="0">
      <alignment horizontal="center" vertical="center"/>
    </xf>
    <xf numFmtId="0" fontId="19" fillId="9" borderId="2" applyAlignment="1" pivotButton="0" quotePrefix="0" xfId="0">
      <alignment horizontal="center" vertical="center" wrapText="1"/>
    </xf>
    <xf numFmtId="0" fontId="19" fillId="12" borderId="2" applyAlignment="1" pivotButton="0" quotePrefix="0" xfId="0">
      <alignment horizontal="center" vertical="center" wrapText="1"/>
    </xf>
    <xf numFmtId="0" fontId="17" fillId="10" borderId="2" applyAlignment="1" pivotButton="0" quotePrefix="0" xfId="0">
      <alignment horizontal="left" vertical="center"/>
    </xf>
    <xf numFmtId="164" fontId="17" fillId="10" borderId="2" applyAlignment="1" pivotButton="0" quotePrefix="0" xfId="0">
      <alignment horizontal="right" vertical="center"/>
    </xf>
    <xf numFmtId="164" fontId="17" fillId="11" borderId="2" applyAlignment="1" applyProtection="1" pivotButton="0" quotePrefix="0" xfId="0">
      <alignment horizontal="right" vertical="center"/>
      <protection locked="0" hidden="0"/>
    </xf>
    <xf numFmtId="1" fontId="17" fillId="10" borderId="2" applyAlignment="1" pivotButton="0" quotePrefix="0" xfId="0">
      <alignment horizontal="center" vertical="center"/>
    </xf>
    <xf numFmtId="9" fontId="17" fillId="10" borderId="2" applyAlignment="1" pivotButton="0" quotePrefix="0" xfId="0">
      <alignment horizontal="center" vertical="center"/>
    </xf>
    <xf numFmtId="0" fontId="16" fillId="12" borderId="1" applyAlignment="1" pivotButton="0" quotePrefix="0" xfId="0">
      <alignment horizontal="left" vertical="center" indent="1"/>
    </xf>
    <xf numFmtId="0" fontId="18" fillId="11" borderId="2" applyAlignment="1" pivotButton="0" quotePrefix="0" xfId="0">
      <alignment horizontal="right" vertical="center" indent="1"/>
    </xf>
    <xf numFmtId="0" fontId="20" fillId="11" borderId="2" applyAlignment="1" applyProtection="1" pivotButton="0" quotePrefix="0" xfId="0">
      <alignment horizontal="left" vertical="top" wrapText="1"/>
      <protection locked="0" hidden="0"/>
    </xf>
    <xf numFmtId="0" fontId="21" fillId="8" borderId="2" applyAlignment="1" pivotButton="0" quotePrefix="0" xfId="0">
      <alignment horizontal="right" vertical="center" indent="1"/>
    </xf>
    <xf numFmtId="164" fontId="21" fillId="8" borderId="2" applyAlignment="1" pivotButton="0" quotePrefix="0" xfId="0">
      <alignment horizontal="right" vertical="center"/>
    </xf>
    <xf numFmtId="0" fontId="16" fillId="8" borderId="2" applyAlignment="1" pivotButton="0" quotePrefix="0" xfId="0">
      <alignment horizontal="center" vertical="center"/>
    </xf>
    <xf numFmtId="0" fontId="22" fillId="10" borderId="2" applyAlignment="1" pivotButton="0" quotePrefix="0" xfId="0">
      <alignment horizontal="left" vertical="top" wrapText="1"/>
    </xf>
    <xf numFmtId="0" fontId="19" fillId="14" borderId="2" applyAlignment="1" pivotButton="0" quotePrefix="0" xfId="0">
      <alignment horizontal="center" vertical="center" wrapText="1"/>
    </xf>
    <xf numFmtId="0" fontId="25" fillId="13" borderId="2" applyAlignment="1" pivotButton="0" quotePrefix="0" xfId="0">
      <alignment horizontal="left" vertical="top" wrapText="1"/>
    </xf>
    <xf numFmtId="0" fontId="23" fillId="13" borderId="1" applyAlignment="1" pivotButton="0" quotePrefix="0" xfId="0">
      <alignment horizontal="center" vertical="center"/>
    </xf>
    <xf numFmtId="0" fontId="0" fillId="0" borderId="0" applyProtection="1" pivotButton="0" quotePrefix="0" xfId="0">
      <protection locked="0" hidden="0"/>
    </xf>
    <xf numFmtId="0" fontId="4" fillId="4" borderId="0" applyAlignment="1" applyProtection="1" pivotButton="0" quotePrefix="0" xfId="0">
      <alignment vertical="center" wrapText="1"/>
      <protection locked="0" hidden="0"/>
    </xf>
    <xf numFmtId="164" fontId="0" fillId="0" borderId="0" applyProtection="1" pivotButton="0" quotePrefix="0" xfId="0">
      <protection locked="0" hidden="0"/>
    </xf>
    <xf numFmtId="164" fontId="0" fillId="0" borderId="0" pivotButton="0" quotePrefix="0" xfId="0"/>
    <xf numFmtId="9" fontId="0" fillId="0" borderId="0" applyProtection="1" pivotButton="0" quotePrefix="0" xfId="0">
      <protection locked="0" hidden="0"/>
    </xf>
    <xf numFmtId="1" fontId="0" fillId="0" borderId="0" applyProtection="1" pivotButton="0" quotePrefix="0" xfId="0">
      <protection locked="0" hidden="0"/>
    </xf>
    <xf numFmtId="1" fontId="0" fillId="0" borderId="0" pivotButton="0" quotePrefix="0" xfId="0"/>
    <xf numFmtId="9" fontId="4" fillId="4" borderId="0" applyAlignment="1" applyProtection="1" pivotButton="0" quotePrefix="0" xfId="0">
      <alignment vertical="center" wrapText="1"/>
      <protection locked="0" hidden="0"/>
    </xf>
    <xf numFmtId="165" fontId="4" fillId="4" borderId="0" applyAlignment="1" applyProtection="1" pivotButton="0" quotePrefix="0" xfId="0">
      <alignment vertical="center" wrapText="1"/>
      <protection locked="0" hidden="0"/>
    </xf>
    <xf numFmtId="165" fontId="0" fillId="0" borderId="0" applyProtection="1" pivotButton="0" quotePrefix="0" xfId="0">
      <protection locked="0" hidden="0"/>
    </xf>
    <xf numFmtId="164" fontId="4" fillId="4" borderId="0" applyAlignment="1" pivotButton="0" quotePrefix="0" xfId="0">
      <alignment vertical="center" wrapText="1"/>
    </xf>
    <xf numFmtId="0" fontId="0" fillId="0" borderId="1" applyProtection="1" pivotButton="0" quotePrefix="0" xfId="0">
      <protection locked="0" hidden="0"/>
    </xf>
  </cellXfs>
  <cellStyles count="1">
    <cellStyle name="Normal" xfId="0"/>
  </cellStyles>
  <dxfs count="3">
    <dxf>
      <font>
        <b val="1"/>
        <color rgb="FFB91C1C"/>
      </font>
      <fill>
        <patternFill patternType="solid">
          <bgColor rgb="FFFEE2E2"/>
        </patternFill>
      </fill>
    </dxf>
    <dxf>
      <font>
        <b val="1"/>
        <color rgb="FFB91C1C"/>
      </font>
      <fill>
        <patternFill patternType="solid">
          <bgColor rgb="FFFEE2E2"/>
        </patternFill>
      </fill>
    </dxf>
    <dxf>
      <font>
        <name val="Calibri"/>
        <b val="1"/>
        <color rgb="009B1C1C"/>
        <sz val="9"/>
      </font>
      <fill>
        <patternFill patternType="solid">
          <fgColor rgb="00FDE2E2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FFD71920"/>
    <outlinePr summaryBelow="1" summaryRight="1"/>
    <pageSetUpPr autoPageBreaks="1" fitToPage="1"/>
  </sheetPr>
  <dimension ref="A1:L36"/>
  <sheetViews>
    <sheetView showGridLines="0" workbookViewId="0">
      <selection activeCell="A1" sqref="A1"/>
    </sheetView>
  </sheetViews>
  <sheetFormatPr baseColWidth="8" defaultRowHeight="15"/>
  <cols>
    <col width="4.2" customWidth="1" min="1" max="1"/>
    <col width="12" customWidth="1" min="2" max="2"/>
    <col width="25.5" customWidth="1" min="3" max="3"/>
    <col width="5.5" customWidth="1" min="4" max="4"/>
    <col width="10" customWidth="1" min="5" max="5"/>
    <col width="11.5" customWidth="1" min="6" max="6"/>
    <col width="2" customWidth="1" min="7" max="7"/>
    <col width="17" customWidth="1" min="8" max="8"/>
    <col width="16" customWidth="1" min="9" max="9"/>
    <col width="12" customWidth="1" min="10" max="10"/>
    <col width="10" customWidth="1" min="11" max="11"/>
    <col width="20" customWidth="1" min="12" max="12"/>
  </cols>
  <sheetData>
    <row r="1" ht="24" customHeight="1">
      <c r="A1" s="126">
        <f>PARAMETRES!$B$4</f>
        <v/>
      </c>
      <c r="B1" s="1" t="n"/>
      <c r="C1" s="1" t="n"/>
      <c r="D1" s="127">
        <f>"WhatsApp : "&amp;PARAMETRES!$B$5</f>
        <v/>
      </c>
      <c r="E1" s="1" t="n"/>
      <c r="F1" s="1" t="n"/>
      <c r="H1" s="128" t="inlineStr">
        <is>
          <t>ZONE DE TRAVAIL — COLONNES G À L NON IMPRIMÉES</t>
        </is>
      </c>
      <c r="I1" s="128" t="n"/>
      <c r="J1" s="128" t="n"/>
      <c r="K1" s="128" t="n"/>
      <c r="L1" s="128" t="n"/>
    </row>
    <row r="2" ht="12" customHeight="1">
      <c r="A2" s="129">
        <f>PARAMETRES!$B$6</f>
        <v/>
      </c>
      <c r="B2" s="129" t="n"/>
      <c r="C2" s="129" t="n"/>
      <c r="D2" s="129" t="n"/>
      <c r="E2" s="129" t="n"/>
      <c r="F2" s="129" t="n"/>
    </row>
    <row r="3" ht="12" customHeight="1">
      <c r="A3" s="130" t="inlineStr">
        <is>
          <t>Qualité, rapidité et confiance</t>
        </is>
      </c>
      <c r="B3" s="1" t="n"/>
      <c r="C3" s="1" t="n"/>
      <c r="D3" s="129">
        <f>"Réf. "&amp;PARAMETRES!$B$7</f>
        <v/>
      </c>
      <c r="E3" s="1" t="n"/>
      <c r="F3" s="1" t="n"/>
      <c r="H3" s="131" t="inlineStr">
        <is>
          <t>TYPE DOCUMENT</t>
        </is>
      </c>
      <c r="I3" s="132" t="inlineStr">
        <is>
          <t>FACTURE</t>
        </is>
      </c>
    </row>
    <row r="4" ht="5" customHeight="1">
      <c r="A4" s="133" t="n"/>
      <c r="B4" s="133" t="n"/>
      <c r="C4" s="133" t="n"/>
      <c r="D4" s="133" t="n"/>
      <c r="E4" s="133" t="n"/>
      <c r="F4" s="133" t="n"/>
      <c r="H4" s="131" t="inlineStr">
        <is>
          <t>STATUT</t>
        </is>
      </c>
      <c r="I4" s="132" t="inlineStr">
        <is>
          <t>BROUILLON</t>
        </is>
      </c>
    </row>
    <row r="5" ht="22" customHeight="1">
      <c r="A5" s="134">
        <f>UPPER($I$3)</f>
        <v/>
      </c>
      <c r="B5" s="134" t="n"/>
      <c r="C5" s="134" t="n"/>
      <c r="D5" s="134" t="n"/>
      <c r="E5" s="134" t="n"/>
      <c r="F5" s="134" t="n"/>
      <c r="H5" s="131" t="inlineStr">
        <is>
          <t>Marge % défaut</t>
        </is>
      </c>
      <c r="I5" s="135" t="n">
        <v>0.3</v>
      </c>
    </row>
    <row r="6" ht="5" customHeight="1">
      <c r="H6" s="131" t="inlineStr">
        <is>
          <t>Devise</t>
        </is>
      </c>
      <c r="I6" s="136">
        <f>PARAMETRES!$B$8</f>
        <v/>
      </c>
    </row>
    <row r="7" ht="16" customHeight="1">
      <c r="A7" s="137" t="inlineStr">
        <is>
          <t>N° Document</t>
        </is>
      </c>
      <c r="B7" s="137" t="n"/>
      <c r="C7" s="138">
        <f>IF($I$3="FACTURE",PARAMETRES!$B$11,PARAMETRES!$B$12)&amp;"-"&amp;PARAMETRES!$B$10&amp;"-"&amp;TEXT(COUNTIF('HISTORIQUE DOCS'!$C$4:$C$1000,$I$3)+1,"000")</f>
        <v/>
      </c>
      <c r="D7" s="139" t="n"/>
      <c r="E7" s="137" t="inlineStr">
        <is>
          <t>Date</t>
        </is>
      </c>
      <c r="F7" s="140" t="n">
        <v>46266</v>
      </c>
      <c r="H7" s="131" t="inlineStr">
        <is>
          <t>Année</t>
        </is>
      </c>
      <c r="I7" s="141">
        <f>PARAMETRES!$B$10</f>
        <v/>
      </c>
    </row>
    <row r="8" ht="16" customHeight="1">
      <c r="A8" s="137" t="inlineStr">
        <is>
          <t>ID Client</t>
        </is>
      </c>
      <c r="B8" s="137" t="n"/>
      <c r="C8" s="142" t="inlineStr">
        <is>
          <t>CLI-0003</t>
        </is>
      </c>
      <c r="D8" s="142" t="n"/>
      <c r="E8" s="137" t="inlineStr">
        <is>
          <t>Lieu</t>
        </is>
      </c>
      <c r="F8" s="143" t="inlineStr">
        <is>
          <t>Lubumbashi</t>
        </is>
      </c>
    </row>
    <row r="9" ht="14" customHeight="1">
      <c r="A9" s="144" t="inlineStr">
        <is>
          <t>CLIENT</t>
        </is>
      </c>
      <c r="B9" s="144" t="n"/>
      <c r="C9" s="144" t="n"/>
      <c r="D9" s="144" t="n"/>
      <c r="E9" s="144" t="n"/>
      <c r="F9" s="144" t="n"/>
      <c r="H9" s="131" t="inlineStr">
        <is>
          <t>Contrôle stock</t>
        </is>
      </c>
      <c r="I9" s="136">
        <f>IF(COUNTIF(L15:L24,"STOCK INSUFFISANT")&gt;0,"⚠ "&amp;COUNTIF(L15:L24,"STOCK INSUFFISANT")&amp; " ligne(s) au-dessus du stock","OK — stock suffisant")</f>
        <v/>
      </c>
      <c r="J9" s="136" t="n"/>
    </row>
    <row r="10" ht="15" customHeight="1">
      <c r="A10" s="137" t="inlineStr">
        <is>
          <t>Nom / Société</t>
        </is>
      </c>
      <c r="B10" s="137" t="n"/>
      <c r="C10" s="138">
        <f>IFERROR(TRIM(VLOOKUP($C$8,'BASE CLIENTS'!$A$4:$M$500,4,FALSE)&amp;" "&amp;VLOOKUP($C$8,'BASE CLIENTS'!$A$4:$M$500,3,FALSE)&amp;" "&amp;VLOOKUP($C$8,'BASE CLIENTS'!$A$4:$M$500,2,FALSE))&amp;IF(VLOOKUP($C$8,'BASE CLIENTS'!$A$4:$M$500,5,FALSE)="","", " — "&amp;VLOOKUP($C$8,'BASE CLIENTS'!$A$4:$M$500,5,FALSE)),"")</f>
        <v/>
      </c>
      <c r="D10" s="139" t="n"/>
      <c r="E10" s="139" t="n"/>
      <c r="F10" s="139" t="n"/>
    </row>
    <row r="11" ht="15" customHeight="1">
      <c r="A11" s="137" t="inlineStr">
        <is>
          <t>Téléphone</t>
        </is>
      </c>
      <c r="B11" s="137" t="n"/>
      <c r="C11" s="139">
        <f>IFERROR(VLOOKUP($C$8,'BASE CLIENTS'!$A$4:$M$500,6,FALSE),"")</f>
        <v/>
      </c>
      <c r="D11" s="139" t="n"/>
      <c r="E11" s="137" t="inlineStr">
        <is>
          <t>Ville</t>
        </is>
      </c>
      <c r="F11" s="145">
        <f>IFERROR(VLOOKUP($C$8,'BASE CLIENTS'!$A$4:$M$500,8,FALSE),"")</f>
        <v/>
      </c>
      <c r="H11" s="131" t="inlineStr">
        <is>
          <t>Nb lignes remplies</t>
        </is>
      </c>
      <c r="I11" s="141">
        <f>COUNTA(B15:B24)</f>
        <v/>
      </c>
    </row>
    <row r="12" ht="15" customHeight="1">
      <c r="A12" s="137" t="inlineStr">
        <is>
          <t>Adresse</t>
        </is>
      </c>
      <c r="B12" s="137" t="n"/>
      <c r="C12" s="139">
        <f>IFERROR(TRIM(VLOOKUP($C$8,'BASE CLIENTS'!$A$4:$M$500,10,FALSE)&amp;" "&amp;VLOOKUP($C$8,'BASE CLIENTS'!$A$4:$M$500,9,FALSE)),"")</f>
        <v/>
      </c>
      <c r="D12" s="139" t="n"/>
      <c r="E12" s="139" t="n"/>
      <c r="F12" s="139" t="n"/>
      <c r="H12" s="146" t="inlineStr">
        <is>
          <t>Cellules à fond gris clair = saisie. Toutes les autres cellules (formules) sont verrouillées.</t>
        </is>
      </c>
      <c r="I12" s="146" t="n"/>
      <c r="J12" s="146" t="n"/>
      <c r="K12" s="146" t="n"/>
      <c r="L12" s="146" t="n"/>
    </row>
    <row r="13" ht="6" customHeight="1"/>
    <row r="14" ht="16" customHeight="1">
      <c r="A14" s="147" t="inlineStr">
        <is>
          <t>N°</t>
        </is>
      </c>
      <c r="B14" s="147" t="inlineStr">
        <is>
          <t>Réf.</t>
        </is>
      </c>
      <c r="C14" s="147" t="inlineStr">
        <is>
          <t>Désignation</t>
        </is>
      </c>
      <c r="D14" s="147" t="inlineStr">
        <is>
          <t>Qté</t>
        </is>
      </c>
      <c r="E14" s="147" t="inlineStr">
        <is>
          <t>P.U. USD</t>
        </is>
      </c>
      <c r="F14" s="147" t="inlineStr">
        <is>
          <t>Montant</t>
        </is>
      </c>
      <c r="H14" s="148" t="inlineStr">
        <is>
          <t>Transport</t>
        </is>
      </c>
      <c r="I14" s="148" t="inlineStr">
        <is>
          <t>Autres frais</t>
        </is>
      </c>
      <c r="J14" s="148" t="inlineStr">
        <is>
          <t>Stock dispo</t>
        </is>
      </c>
      <c r="K14" s="148" t="inlineStr">
        <is>
          <t>Marge %</t>
        </is>
      </c>
      <c r="L14" s="148" t="inlineStr">
        <is>
          <t>Alerte stock</t>
        </is>
      </c>
    </row>
    <row r="15" ht="15" customHeight="1">
      <c r="A15" s="145" t="n">
        <v>1</v>
      </c>
      <c r="B15" s="143" t="n"/>
      <c r="C15" s="149">
        <f>IFERROR(VLOOKUP($B15,'BASE ARTICLES'!$A$4:$P$500,2,FALSE),"")</f>
        <v/>
      </c>
      <c r="D15" s="143" t="n"/>
      <c r="E15" s="150">
        <f>IFERROR(VLOOKUP($B15,'BASE ARTICLES'!$A$4:$P$500,10,FALSE),"")</f>
        <v/>
      </c>
      <c r="F15" s="150">
        <f>IF(OR($B15="",$D15=""),0,$D15*$E15+$H15+$I15)</f>
        <v/>
      </c>
      <c r="H15" s="151" t="n">
        <v>0</v>
      </c>
      <c r="I15" s="151" t="n">
        <v>0</v>
      </c>
      <c r="J15" s="152">
        <f>IFERROR(VLOOKUP($B15,'BASE ARTICLES'!$A$4:$P$500,13,FALSE),"")</f>
        <v/>
      </c>
      <c r="K15" s="153">
        <f>IFERROR(VLOOKUP($B15,'BASE ARTICLES'!$A$4:$P$500,9,FALSE),$I$5)</f>
        <v/>
      </c>
      <c r="L15" s="145">
        <f>IF(OR($B15="",$D15=""),"",IF(N($J15)&lt;N($D15),"STOCK INSUFFISANT","OK"))</f>
        <v/>
      </c>
    </row>
    <row r="16" ht="15" customHeight="1">
      <c r="A16" s="145" t="n">
        <v>2</v>
      </c>
      <c r="B16" s="143" t="n"/>
      <c r="C16" s="149">
        <f>IFERROR(VLOOKUP($B16,'BASE ARTICLES'!$A$4:$P$500,2,FALSE),"")</f>
        <v/>
      </c>
      <c r="D16" s="143" t="n"/>
      <c r="E16" s="150">
        <f>IFERROR(VLOOKUP($B16,'BASE ARTICLES'!$A$4:$P$500,10,FALSE),"")</f>
        <v/>
      </c>
      <c r="F16" s="150">
        <f>IF(OR($B16="",$D16=""),0,$D16*$E16+$H16+$I16)</f>
        <v/>
      </c>
      <c r="H16" s="151" t="n">
        <v>0</v>
      </c>
      <c r="I16" s="151" t="n">
        <v>0</v>
      </c>
      <c r="J16" s="152">
        <f>IFERROR(VLOOKUP($B16,'BASE ARTICLES'!$A$4:$P$500,13,FALSE),"")</f>
        <v/>
      </c>
      <c r="K16" s="153">
        <f>IFERROR(VLOOKUP($B16,'BASE ARTICLES'!$A$4:$P$500,9,FALSE),$I$5)</f>
        <v/>
      </c>
      <c r="L16" s="145">
        <f>IF(OR($B16="",$D16=""),"",IF(N($J16)&lt;N($D16),"STOCK INSUFFISANT","OK"))</f>
        <v/>
      </c>
    </row>
    <row r="17" ht="15" customHeight="1">
      <c r="A17" s="145" t="n">
        <v>3</v>
      </c>
      <c r="B17" s="143" t="n"/>
      <c r="C17" s="149">
        <f>IFERROR(VLOOKUP($B17,'BASE ARTICLES'!$A$4:$P$500,2,FALSE),"")</f>
        <v/>
      </c>
      <c r="D17" s="143" t="n"/>
      <c r="E17" s="150">
        <f>IFERROR(VLOOKUP($B17,'BASE ARTICLES'!$A$4:$P$500,10,FALSE),"")</f>
        <v/>
      </c>
      <c r="F17" s="150">
        <f>IF(OR($B17="",$D17=""),0,$D17*$E17+$H17+$I17)</f>
        <v/>
      </c>
      <c r="H17" s="151" t="n">
        <v>0</v>
      </c>
      <c r="I17" s="151" t="n">
        <v>0</v>
      </c>
      <c r="J17" s="152">
        <f>IFERROR(VLOOKUP($B17,'BASE ARTICLES'!$A$4:$P$500,13,FALSE),"")</f>
        <v/>
      </c>
      <c r="K17" s="153">
        <f>IFERROR(VLOOKUP($B17,'BASE ARTICLES'!$A$4:$P$500,9,FALSE),$I$5)</f>
        <v/>
      </c>
      <c r="L17" s="145">
        <f>IF(OR($B17="",$D17=""),"",IF(N($J17)&lt;N($D17),"STOCK INSUFFISANT","OK"))</f>
        <v/>
      </c>
    </row>
    <row r="18" ht="15" customHeight="1">
      <c r="A18" s="145" t="n">
        <v>4</v>
      </c>
      <c r="B18" s="143" t="n"/>
      <c r="C18" s="149">
        <f>IFERROR(VLOOKUP($B18,'BASE ARTICLES'!$A$4:$P$500,2,FALSE),"")</f>
        <v/>
      </c>
      <c r="D18" s="143" t="n"/>
      <c r="E18" s="150">
        <f>IFERROR(VLOOKUP($B18,'BASE ARTICLES'!$A$4:$P$500,10,FALSE),"")</f>
        <v/>
      </c>
      <c r="F18" s="150">
        <f>IF(OR($B18="",$D18=""),0,$D18*$E18+$H18+$I18)</f>
        <v/>
      </c>
      <c r="H18" s="151" t="n">
        <v>0</v>
      </c>
      <c r="I18" s="151" t="n">
        <v>0</v>
      </c>
      <c r="J18" s="152">
        <f>IFERROR(VLOOKUP($B18,'BASE ARTICLES'!$A$4:$P$500,13,FALSE),"")</f>
        <v/>
      </c>
      <c r="K18" s="153">
        <f>IFERROR(VLOOKUP($B18,'BASE ARTICLES'!$A$4:$P$500,9,FALSE),$I$5)</f>
        <v/>
      </c>
      <c r="L18" s="145">
        <f>IF(OR($B18="",$D18=""),"",IF(N($J18)&lt;N($D18),"STOCK INSUFFISANT","OK"))</f>
        <v/>
      </c>
    </row>
    <row r="19" ht="15" customHeight="1">
      <c r="A19" s="145" t="n">
        <v>5</v>
      </c>
      <c r="B19" s="143" t="n"/>
      <c r="C19" s="149">
        <f>IFERROR(VLOOKUP($B19,'BASE ARTICLES'!$A$4:$P$500,2,FALSE),"")</f>
        <v/>
      </c>
      <c r="D19" s="143" t="n"/>
      <c r="E19" s="150">
        <f>IFERROR(VLOOKUP($B19,'BASE ARTICLES'!$A$4:$P$500,10,FALSE),"")</f>
        <v/>
      </c>
      <c r="F19" s="150">
        <f>IF(OR($B19="",$D19=""),0,$D19*$E19+$H19+$I19)</f>
        <v/>
      </c>
      <c r="H19" s="151" t="n">
        <v>0</v>
      </c>
      <c r="I19" s="151" t="n">
        <v>0</v>
      </c>
      <c r="J19" s="152">
        <f>IFERROR(VLOOKUP($B19,'BASE ARTICLES'!$A$4:$P$500,13,FALSE),"")</f>
        <v/>
      </c>
      <c r="K19" s="153">
        <f>IFERROR(VLOOKUP($B19,'BASE ARTICLES'!$A$4:$P$500,9,FALSE),$I$5)</f>
        <v/>
      </c>
      <c r="L19" s="145">
        <f>IF(OR($B19="",$D19=""),"",IF(N($J19)&lt;N($D19),"STOCK INSUFFISANT","OK"))</f>
        <v/>
      </c>
    </row>
    <row r="20" ht="15" customHeight="1">
      <c r="A20" s="145" t="n">
        <v>6</v>
      </c>
      <c r="B20" s="143" t="n"/>
      <c r="C20" s="149">
        <f>IFERROR(VLOOKUP($B20,'BASE ARTICLES'!$A$4:$P$500,2,FALSE),"")</f>
        <v/>
      </c>
      <c r="D20" s="143" t="n"/>
      <c r="E20" s="150">
        <f>IFERROR(VLOOKUP($B20,'BASE ARTICLES'!$A$4:$P$500,10,FALSE),"")</f>
        <v/>
      </c>
      <c r="F20" s="150">
        <f>IF(OR($B20="",$D20=""),0,$D20*$E20+$H20+$I20)</f>
        <v/>
      </c>
      <c r="H20" s="151" t="n">
        <v>0</v>
      </c>
      <c r="I20" s="151" t="n">
        <v>0</v>
      </c>
      <c r="J20" s="152">
        <f>IFERROR(VLOOKUP($B20,'BASE ARTICLES'!$A$4:$P$500,13,FALSE),"")</f>
        <v/>
      </c>
      <c r="K20" s="153">
        <f>IFERROR(VLOOKUP($B20,'BASE ARTICLES'!$A$4:$P$500,9,FALSE),$I$5)</f>
        <v/>
      </c>
      <c r="L20" s="145">
        <f>IF(OR($B20="",$D20=""),"",IF(N($J20)&lt;N($D20),"STOCK INSUFFISANT","OK"))</f>
        <v/>
      </c>
    </row>
    <row r="21" ht="15" customHeight="1">
      <c r="A21" s="145" t="n">
        <v>7</v>
      </c>
      <c r="B21" s="143" t="n"/>
      <c r="C21" s="149">
        <f>IFERROR(VLOOKUP($B21,'BASE ARTICLES'!$A$4:$P$500,2,FALSE),"")</f>
        <v/>
      </c>
      <c r="D21" s="143" t="n"/>
      <c r="E21" s="150">
        <f>IFERROR(VLOOKUP($B21,'BASE ARTICLES'!$A$4:$P$500,10,FALSE),"")</f>
        <v/>
      </c>
      <c r="F21" s="150">
        <f>IF(OR($B21="",$D21=""),0,$D21*$E21+$H21+$I21)</f>
        <v/>
      </c>
      <c r="H21" s="151" t="n">
        <v>0</v>
      </c>
      <c r="I21" s="151" t="n">
        <v>0</v>
      </c>
      <c r="J21" s="152">
        <f>IFERROR(VLOOKUP($B21,'BASE ARTICLES'!$A$4:$P$500,13,FALSE),"")</f>
        <v/>
      </c>
      <c r="K21" s="153">
        <f>IFERROR(VLOOKUP($B21,'BASE ARTICLES'!$A$4:$P$500,9,FALSE),$I$5)</f>
        <v/>
      </c>
      <c r="L21" s="145">
        <f>IF(OR($B21="",$D21=""),"",IF(N($J21)&lt;N($D21),"STOCK INSUFFISANT","OK"))</f>
        <v/>
      </c>
    </row>
    <row r="22" ht="15" customHeight="1">
      <c r="A22" s="145" t="n">
        <v>8</v>
      </c>
      <c r="B22" s="143" t="n"/>
      <c r="C22" s="149">
        <f>IFERROR(VLOOKUP($B22,'BASE ARTICLES'!$A$4:$P$500,2,FALSE),"")</f>
        <v/>
      </c>
      <c r="D22" s="143" t="n"/>
      <c r="E22" s="150">
        <f>IFERROR(VLOOKUP($B22,'BASE ARTICLES'!$A$4:$P$500,10,FALSE),"")</f>
        <v/>
      </c>
      <c r="F22" s="150">
        <f>IF(OR($B22="",$D22=""),0,$D22*$E22+$H22+$I22)</f>
        <v/>
      </c>
      <c r="H22" s="151" t="n">
        <v>0</v>
      </c>
      <c r="I22" s="151" t="n">
        <v>0</v>
      </c>
      <c r="J22" s="152">
        <f>IFERROR(VLOOKUP($B22,'BASE ARTICLES'!$A$4:$P$500,13,FALSE),"")</f>
        <v/>
      </c>
      <c r="K22" s="153">
        <f>IFERROR(VLOOKUP($B22,'BASE ARTICLES'!$A$4:$P$500,9,FALSE),$I$5)</f>
        <v/>
      </c>
      <c r="L22" s="145">
        <f>IF(OR($B22="",$D22=""),"",IF(N($J22)&lt;N($D22),"STOCK INSUFFISANT","OK"))</f>
        <v/>
      </c>
    </row>
    <row r="23" ht="15" customHeight="1">
      <c r="A23" s="145" t="n">
        <v>9</v>
      </c>
      <c r="B23" s="143" t="n"/>
      <c r="C23" s="149">
        <f>IFERROR(VLOOKUP($B23,'BASE ARTICLES'!$A$4:$P$500,2,FALSE),"")</f>
        <v/>
      </c>
      <c r="D23" s="143" t="n"/>
      <c r="E23" s="150">
        <f>IFERROR(VLOOKUP($B23,'BASE ARTICLES'!$A$4:$P$500,10,FALSE),"")</f>
        <v/>
      </c>
      <c r="F23" s="150">
        <f>IF(OR($B23="",$D23=""),0,$D23*$E23+$H23+$I23)</f>
        <v/>
      </c>
      <c r="H23" s="151" t="n">
        <v>0</v>
      </c>
      <c r="I23" s="151" t="n">
        <v>0</v>
      </c>
      <c r="J23" s="152">
        <f>IFERROR(VLOOKUP($B23,'BASE ARTICLES'!$A$4:$P$500,13,FALSE),"")</f>
        <v/>
      </c>
      <c r="K23" s="153">
        <f>IFERROR(VLOOKUP($B23,'BASE ARTICLES'!$A$4:$P$500,9,FALSE),$I$5)</f>
        <v/>
      </c>
      <c r="L23" s="145">
        <f>IF(OR($B23="",$D23=""),"",IF(N($J23)&lt;N($D23),"STOCK INSUFFISANT","OK"))</f>
        <v/>
      </c>
    </row>
    <row r="24" ht="15" customHeight="1">
      <c r="A24" s="145" t="n">
        <v>10</v>
      </c>
      <c r="B24" s="143" t="n"/>
      <c r="C24" s="149">
        <f>IFERROR(VLOOKUP($B24,'BASE ARTICLES'!$A$4:$P$500,2,FALSE),"")</f>
        <v/>
      </c>
      <c r="D24" s="143" t="n"/>
      <c r="E24" s="150">
        <f>IFERROR(VLOOKUP($B24,'BASE ARTICLES'!$A$4:$P$500,10,FALSE),"")</f>
        <v/>
      </c>
      <c r="F24" s="150">
        <f>IF(OR($B24="",$D24=""),0,$D24*$E24+$H24+$I24)</f>
        <v/>
      </c>
      <c r="H24" s="151" t="n">
        <v>0</v>
      </c>
      <c r="I24" s="151" t="n">
        <v>0</v>
      </c>
      <c r="J24" s="152">
        <f>IFERROR(VLOOKUP($B24,'BASE ARTICLES'!$A$4:$P$500,13,FALSE),"")</f>
        <v/>
      </c>
      <c r="K24" s="153">
        <f>IFERROR(VLOOKUP($B24,'BASE ARTICLES'!$A$4:$P$500,9,FALSE),$I$5)</f>
        <v/>
      </c>
      <c r="L24" s="145">
        <f>IF(OR($B24="",$D24=""),"",IF(N($J24)&lt;N($D24),"STOCK INSUFFISANT","OK"))</f>
        <v/>
      </c>
    </row>
    <row r="25" ht="14" customHeight="1">
      <c r="A25" s="154" t="inlineStr">
        <is>
          <t>OBSERVATIONS</t>
        </is>
      </c>
      <c r="B25" s="154" t="n"/>
      <c r="C25" s="154" t="n"/>
      <c r="D25" s="155" t="inlineStr">
        <is>
          <t>Sous-total</t>
        </is>
      </c>
      <c r="E25" s="155" t="n"/>
      <c r="F25" s="150">
        <f>SUM(F15:F24)</f>
        <v/>
      </c>
    </row>
    <row r="26" ht="15" customHeight="1">
      <c r="A26" s="156" t="inlineStr">
        <is>
          <t>Saisir ici les observations, garanties ou conditions particulières.</t>
        </is>
      </c>
      <c r="B26" s="156" t="n"/>
      <c r="C26" s="156" t="n"/>
      <c r="D26" s="155" t="inlineStr">
        <is>
          <t>Marge société</t>
        </is>
      </c>
      <c r="E26" s="155" t="n"/>
      <c r="F26" s="150">
        <f>SUMPRODUCT(F15:F24,K15:K24)</f>
        <v/>
      </c>
      <c r="H26" s="147" t="inlineStr">
        <is>
          <t>✅ VALIDER &amp; IMPRIMER — PDF A5 + Historique + Sortie de stock</t>
        </is>
      </c>
      <c r="I26" s="147" t="n"/>
      <c r="J26" s="147" t="n"/>
      <c r="K26" s="147" t="n"/>
      <c r="L26" s="147" t="n"/>
    </row>
    <row r="27" ht="18" customHeight="1">
      <c r="A27" s="156" t="n"/>
      <c r="B27" s="156" t="n"/>
      <c r="C27" s="156" t="n"/>
      <c r="D27" s="157" t="inlineStr">
        <is>
          <t>TOTAL GÉNÉRAL</t>
        </is>
      </c>
      <c r="E27" s="157" t="n"/>
      <c r="F27" s="158">
        <f>F25+F26</f>
        <v/>
      </c>
      <c r="H27" s="147" t="n"/>
      <c r="I27" s="147" t="n"/>
      <c r="J27" s="147" t="n"/>
      <c r="K27" s="147" t="n"/>
      <c r="L27" s="147" t="n"/>
    </row>
    <row r="28" ht="15" customHeight="1">
      <c r="A28" s="159" t="inlineStr">
        <is>
          <t>Conditions paiement</t>
        </is>
      </c>
      <c r="B28" s="159" t="n"/>
      <c r="C28" s="139">
        <f>PARAMETRES!$B$15</f>
        <v/>
      </c>
      <c r="D28" s="139" t="n"/>
      <c r="E28" s="139" t="n"/>
      <c r="F28" s="139" t="n"/>
      <c r="H28" s="148" t="inlineStr">
        <is>
          <t>🧾 ENREGISTRER BROUILLON — sans sortie de stock</t>
        </is>
      </c>
      <c r="I28" s="148" t="n"/>
      <c r="J28" s="148" t="n"/>
      <c r="K28" s="148" t="n"/>
      <c r="L28" s="148" t="n"/>
    </row>
    <row r="29" ht="6" customHeight="1">
      <c r="H29" s="148" t="n"/>
      <c r="I29" s="148" t="n"/>
      <c r="J29" s="148" t="n"/>
      <c r="K29" s="148" t="n"/>
      <c r="L29" s="148" t="n"/>
    </row>
    <row r="30" ht="16" customHeight="1">
      <c r="A30" s="160">
        <f>"Pour "&amp;PARAMETRES!$B$4&amp;CHAR(10)&amp;CHAR(10)&amp;"Signature &amp; cachet"</f>
        <v/>
      </c>
      <c r="B30" s="160" t="n"/>
      <c r="C30" s="160" t="n"/>
      <c r="D30" s="160">
        <f>"Client : "&amp;$C$10&amp;CHAR(10)&amp;CHAR(10)&amp;"Signature"</f>
        <v/>
      </c>
      <c r="E30" s="160" t="n"/>
      <c r="F30" s="160" t="n"/>
      <c r="H30" s="161" t="inlineStr">
        <is>
          <t>🧹 NOUVEAU DOCUMENT — formulaire vierge</t>
        </is>
      </c>
      <c r="I30" s="161" t="n"/>
      <c r="J30" s="161" t="n"/>
      <c r="K30" s="161" t="n"/>
      <c r="L30" s="161" t="n"/>
    </row>
    <row r="31" ht="16" customHeight="1">
      <c r="A31" s="160" t="n"/>
      <c r="B31" s="160" t="n"/>
      <c r="C31" s="160" t="n"/>
      <c r="D31" s="160" t="n"/>
      <c r="E31" s="160" t="n"/>
      <c r="F31" s="160" t="n"/>
      <c r="H31" s="161" t="n"/>
      <c r="I31" s="161" t="n"/>
      <c r="J31" s="161" t="n"/>
      <c r="K31" s="161" t="n"/>
      <c r="L31" s="161" t="n"/>
    </row>
    <row r="32" ht="16" customHeight="1">
      <c r="A32" s="160" t="n"/>
      <c r="B32" s="160" t="n"/>
      <c r="C32" s="160" t="n"/>
      <c r="D32" s="160" t="n"/>
      <c r="E32" s="160" t="n"/>
      <c r="F32" s="160" t="n"/>
    </row>
    <row r="33" ht="5" customHeight="1">
      <c r="H33" s="162" t="inlineStr">
        <is>
          <t>MAQUETTE — Dans la version finale automatisée, « VALIDER &amp; IMPRIMER » génère le PDF au format A5, enregistre le document dans HISTORIQUE DOCS, met à jour le stock uniquement pour une FACTURE VALIDÉE, puis remet le formulaire à zéro. Une PROFORMA ne diminue jamais le stock. Les colonnes G à L ne sont pas imprimées : elles servent au calcul (transport, autres frais, stock, marge).</t>
        </is>
      </c>
      <c r="I33" s="162" t="n"/>
      <c r="J33" s="162" t="n"/>
      <c r="K33" s="162" t="n"/>
      <c r="L33" s="162" t="n"/>
    </row>
    <row r="34" ht="14" customHeight="1">
      <c r="A34" s="163">
        <f>IF($I$3="PROFORMA","Proforma valable "&amp;PARAMETRES!$B$16&amp;" jours — ne vaut pas facture et n’entraîne aucune sortie de stock.","Merci de votre confiance — toute réclamation doit être formulée dans les 7 jours.")</f>
        <v/>
      </c>
      <c r="B34" s="163" t="n"/>
      <c r="C34" s="163" t="n"/>
      <c r="D34" s="163" t="n"/>
      <c r="E34" s="163" t="n"/>
      <c r="F34" s="163" t="n"/>
      <c r="H34" s="162" t="n"/>
      <c r="I34" s="162" t="n"/>
      <c r="J34" s="162" t="n"/>
      <c r="K34" s="162" t="n"/>
      <c r="L34" s="162" t="n"/>
    </row>
    <row r="35">
      <c r="H35" s="162" t="n"/>
      <c r="I35" s="162" t="n"/>
      <c r="J35" s="162" t="n"/>
      <c r="K35" s="162" t="n"/>
      <c r="L35" s="162" t="n"/>
    </row>
    <row r="36">
      <c r="H36" s="162" t="n"/>
      <c r="I36" s="162" t="n"/>
      <c r="J36" s="162" t="n"/>
      <c r="K36" s="162" t="n"/>
      <c r="L36" s="162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/>
  <mergeCells count="35">
    <mergeCell ref="A25:C25"/>
    <mergeCell ref="A11:B11"/>
    <mergeCell ref="H1:L1"/>
    <mergeCell ref="A3:C3"/>
    <mergeCell ref="C28:F28"/>
    <mergeCell ref="A2:F2"/>
    <mergeCell ref="A7:B7"/>
    <mergeCell ref="A5:F5"/>
    <mergeCell ref="D27:E27"/>
    <mergeCell ref="H28:L29"/>
    <mergeCell ref="D3:F3"/>
    <mergeCell ref="A4:F4"/>
    <mergeCell ref="A12:B12"/>
    <mergeCell ref="H30:L31"/>
    <mergeCell ref="C11:D11"/>
    <mergeCell ref="H33:L36"/>
    <mergeCell ref="A9:F9"/>
    <mergeCell ref="D30:F32"/>
    <mergeCell ref="A34:F34"/>
    <mergeCell ref="H26:L27"/>
    <mergeCell ref="C10:F10"/>
    <mergeCell ref="A8:B8"/>
    <mergeCell ref="D1:F1"/>
    <mergeCell ref="C8:D8"/>
    <mergeCell ref="A26:C27"/>
    <mergeCell ref="D25:E25"/>
    <mergeCell ref="C7:D7"/>
    <mergeCell ref="H12:L12"/>
    <mergeCell ref="A1:C1"/>
    <mergeCell ref="A30:C32"/>
    <mergeCell ref="C12:F12"/>
    <mergeCell ref="A10:B10"/>
    <mergeCell ref="A28:B28"/>
    <mergeCell ref="D26:E26"/>
    <mergeCell ref="I9:J9"/>
  </mergeCells>
  <conditionalFormatting sqref="A15:F24">
    <cfRule type="expression" priority="1" dxfId="2" stopIfTrue="0">
      <formula>AND($B15&lt;&gt;"",$D15&lt;&gt;"",N($J15)&lt;N($D15))</formula>
    </cfRule>
  </conditionalFormatting>
  <conditionalFormatting sqref="L15:L24">
    <cfRule type="cellIs" priority="2" operator="equal" dxfId="2">
      <formula>"STOCK INSUFFISANT"</formula>
    </cfRule>
  </conditionalFormatting>
  <dataValidations count="5">
    <dataValidation sqref="I3" showDropDown="0" showInputMessage="0" showErrorMessage="0" allowBlank="0" type="list">
      <formula1>"FACTURE,PROFORMA"</formula1>
    </dataValidation>
    <dataValidation sqref="I4" showDropDown="0" showInputMessage="0" showErrorMessage="0" allowBlank="0" type="list">
      <formula1>"BROUILLON,VALIDÉ,ANNULÉ"</formula1>
    </dataValidation>
    <dataValidation sqref="C8" showDropDown="0" showInputMessage="0" showErrorMessage="0" allowBlank="1" type="list">
      <formula1>'BASE CLIENTS'!$A$4:$A$500</formula1>
    </dataValidation>
    <dataValidation sqref="B15:B24" showDropDown="0" showInputMessage="0" showErrorMessage="0" allowBlank="1" type="list">
      <formula1>'BASE ARTICLES'!$A$4:$A$500</formula1>
    </dataValidation>
    <dataValidation sqref="D15:D24" showDropDown="0" showInputMessage="0" showErrorMessage="0" allowBlank="1" errorTitle="Quantité invalide" error="Quantité : nombre entier positif." type="whole" operator="greaterThanOrEqual">
      <formula1>0</formula1>
    </dataValidation>
  </dataValidations>
  <printOptions horizontalCentered="1"/>
  <pageMargins left="0.24" right="0.24" top="0.28" bottom="0.28" header="0" footer="0"/>
  <pageSetup orientation="portrait" paperSize="11" fitToHeight="1" fitToWidth="1" horizontalDpi="600" verticalDpi="600"/>
</worksheet>
</file>

<file path=xl/worksheets/sheet2.xml><?xml version="1.0" encoding="utf-8"?>
<worksheet xmlns="http://schemas.openxmlformats.org/spreadsheetml/2006/main">
  <sheetPr>
    <tabColor rgb="FF6B7280"/>
    <outlinePr summaryBelow="1" summaryRight="1"/>
    <pageSetUpPr fitToPage="1"/>
  </sheetPr>
  <dimension ref="A1:R50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2" max="2"/>
    <col width="18" customWidth="1" min="3" max="3"/>
    <col width="18" customWidth="1" min="4" max="4"/>
    <col width="18" customWidth="1" min="5" max="5"/>
    <col width="32" customWidth="1" min="10" max="10"/>
    <col width="26" customWidth="1" min="13" max="13"/>
  </cols>
  <sheetData>
    <row r="1" ht="26" customHeight="1">
      <c r="A1" s="9" t="inlineStr">
        <is>
          <t>BASE DE DONNÉES CLIENTS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O1" s="27" t="inlineStr">
        <is>
          <t>FORMULAIRE — AJOUT CLIENT</t>
        </is>
      </c>
      <c r="P1" s="1" t="n"/>
      <c r="Q1" s="1" t="n"/>
      <c r="R1" s="1" t="n"/>
    </row>
    <row r="3" ht="24" customHeight="1">
      <c r="A3" s="14" t="inlineStr">
        <is>
          <t>ID Client</t>
        </is>
      </c>
      <c r="B3" s="14" t="inlineStr">
        <is>
          <t>Nom</t>
        </is>
      </c>
      <c r="C3" s="14" t="inlineStr">
        <is>
          <t>Postnom</t>
        </is>
      </c>
      <c r="D3" s="14" t="inlineStr">
        <is>
          <t>Prénom</t>
        </is>
      </c>
      <c r="E3" s="14" t="inlineStr">
        <is>
          <t>Société</t>
        </is>
      </c>
      <c r="F3" s="14" t="inlineStr">
        <is>
          <t>Téléphone</t>
        </is>
      </c>
      <c r="G3" s="14" t="inlineStr">
        <is>
          <t>Téléphone 2</t>
        </is>
      </c>
      <c r="H3" s="14" t="inlineStr">
        <is>
          <t>Ville</t>
        </is>
      </c>
      <c r="I3" s="14" t="inlineStr">
        <is>
          <t>Commune</t>
        </is>
      </c>
      <c r="J3" s="14" t="inlineStr">
        <is>
          <t>Adresse</t>
        </is>
      </c>
      <c r="K3" s="14" t="inlineStr">
        <is>
          <t>E-mail</t>
        </is>
      </c>
      <c r="L3" s="14" t="inlineStr">
        <is>
          <t>Type Client</t>
        </is>
      </c>
      <c r="M3" s="14" t="inlineStr">
        <is>
          <t>Observation</t>
        </is>
      </c>
      <c r="O3" s="14" t="inlineStr">
        <is>
          <t>Champ</t>
        </is>
      </c>
      <c r="P3" s="14" t="inlineStr">
        <is>
          <t>Saisie</t>
        </is>
      </c>
    </row>
    <row r="4">
      <c r="A4" s="164" t="inlineStr">
        <is>
          <t>CLI-0001</t>
        </is>
      </c>
      <c r="B4" s="164" t="inlineStr">
        <is>
          <t>DIENGA</t>
        </is>
      </c>
      <c r="C4" s="164" t="str"/>
      <c r="D4" s="164" t="inlineStr">
        <is>
          <t>NONO</t>
        </is>
      </c>
      <c r="E4" s="164" t="str"/>
      <c r="F4" s="164" t="inlineStr">
        <is>
          <t>0995 339 979</t>
        </is>
      </c>
      <c r="G4" s="164" t="str"/>
      <c r="H4" s="164" t="inlineStr">
        <is>
          <t>Lubumbashi</t>
        </is>
      </c>
      <c r="I4" s="164" t="str"/>
      <c r="J4" s="164" t="str"/>
      <c r="K4" s="164" t="str"/>
      <c r="L4" s="164" t="inlineStr">
        <is>
          <t>PARTICULIER</t>
        </is>
      </c>
      <c r="M4" s="164" t="str"/>
      <c r="O4" s="31" t="inlineStr">
        <is>
          <t>Nom</t>
        </is>
      </c>
      <c r="P4" s="165" t="str"/>
    </row>
    <row r="5">
      <c r="A5" s="164" t="inlineStr">
        <is>
          <t>CLI-0002</t>
        </is>
      </c>
      <c r="B5" s="164" t="inlineStr">
        <is>
          <t>MUKAZA</t>
        </is>
      </c>
      <c r="C5" s="164" t="inlineStr">
        <is>
          <t>SCHADRAK</t>
        </is>
      </c>
      <c r="D5" s="164" t="inlineStr">
        <is>
          <t>SONY</t>
        </is>
      </c>
      <c r="E5" s="164" t="str"/>
      <c r="F5" s="164" t="inlineStr">
        <is>
          <t>0995 003 367</t>
        </is>
      </c>
      <c r="G5" s="164" t="str"/>
      <c r="H5" s="164" t="inlineStr">
        <is>
          <t>Kolwezi</t>
        </is>
      </c>
      <c r="I5" s="164" t="str"/>
      <c r="J5" s="164" t="str"/>
      <c r="K5" s="164" t="str"/>
      <c r="L5" s="164" t="inlineStr">
        <is>
          <t>PARTICULIER</t>
        </is>
      </c>
      <c r="M5" s="164" t="str"/>
      <c r="O5" s="31" t="inlineStr">
        <is>
          <t>Postnom</t>
        </is>
      </c>
      <c r="P5" s="165" t="str"/>
    </row>
    <row r="6">
      <c r="A6" s="164" t="inlineStr">
        <is>
          <t>CLI-0003</t>
        </is>
      </c>
      <c r="B6" s="164" t="inlineStr">
        <is>
          <t>KAYISA</t>
        </is>
      </c>
      <c r="C6" s="164" t="str"/>
      <c r="D6" s="164" t="inlineStr">
        <is>
          <t>MATHIEU</t>
        </is>
      </c>
      <c r="E6" s="164" t="str"/>
      <c r="F6" s="164" t="inlineStr">
        <is>
          <t>0817 967 541</t>
        </is>
      </c>
      <c r="G6" s="164" t="str"/>
      <c r="H6" s="164" t="inlineStr">
        <is>
          <t>Lubumbashi</t>
        </is>
      </c>
      <c r="I6" s="164" t="str"/>
      <c r="J6" s="164" t="str"/>
      <c r="K6" s="164" t="str"/>
      <c r="L6" s="164" t="inlineStr">
        <is>
          <t>PARTICULIER</t>
        </is>
      </c>
      <c r="M6" s="164" t="str"/>
      <c r="O6" s="31" t="inlineStr">
        <is>
          <t>Prénom</t>
        </is>
      </c>
      <c r="P6" s="165" t="str"/>
    </row>
    <row r="7">
      <c r="A7" s="164" t="inlineStr">
        <is>
          <t>CLI-0004</t>
        </is>
      </c>
      <c r="B7" s="164" t="inlineStr">
        <is>
          <t>CLIENT</t>
        </is>
      </c>
      <c r="C7" s="164" t="str"/>
      <c r="D7" s="164" t="inlineStr">
        <is>
          <t>DEMO</t>
        </is>
      </c>
      <c r="E7" s="164" t="inlineStr">
        <is>
          <t>SOCIETE DEMO</t>
        </is>
      </c>
      <c r="F7" s="164" t="inlineStr">
        <is>
          <t>+243 000 000 000</t>
        </is>
      </c>
      <c r="G7" s="164" t="str"/>
      <c r="H7" s="164" t="inlineStr">
        <is>
          <t>Lubumbashi</t>
        </is>
      </c>
      <c r="I7" s="164" t="str"/>
      <c r="J7" s="164" t="str"/>
      <c r="K7" s="164" t="str"/>
      <c r="L7" s="164" t="inlineStr">
        <is>
          <t>ENTREPRISE</t>
        </is>
      </c>
      <c r="M7" s="164" t="inlineStr">
        <is>
          <t>Test</t>
        </is>
      </c>
      <c r="O7" s="31" t="inlineStr">
        <is>
          <t>Société</t>
        </is>
      </c>
      <c r="P7" s="165" t="str"/>
    </row>
    <row r="8">
      <c r="A8" s="164" t="n"/>
      <c r="B8" s="164" t="n"/>
      <c r="C8" s="164" t="n"/>
      <c r="D8" s="164" t="n"/>
      <c r="E8" s="164" t="n"/>
      <c r="F8" s="164" t="n"/>
      <c r="G8" s="164" t="n"/>
      <c r="H8" s="164" t="n"/>
      <c r="I8" s="164" t="n"/>
      <c r="J8" s="164" t="n"/>
      <c r="K8" s="164" t="n"/>
      <c r="L8" s="164" t="n"/>
      <c r="M8" s="164" t="n"/>
      <c r="O8" s="31" t="inlineStr">
        <is>
          <t>Téléphone</t>
        </is>
      </c>
      <c r="P8" s="165" t="str"/>
    </row>
    <row r="9">
      <c r="A9" s="164" t="n"/>
      <c r="B9" s="164" t="n"/>
      <c r="C9" s="164" t="n"/>
      <c r="D9" s="164" t="n"/>
      <c r="E9" s="164" t="n"/>
      <c r="F9" s="164" t="n"/>
      <c r="G9" s="164" t="n"/>
      <c r="H9" s="164" t="n"/>
      <c r="I9" s="164" t="n"/>
      <c r="J9" s="164" t="n"/>
      <c r="K9" s="164" t="n"/>
      <c r="L9" s="164" t="n"/>
      <c r="M9" s="164" t="n"/>
      <c r="O9" s="31" t="inlineStr">
        <is>
          <t>Ville</t>
        </is>
      </c>
      <c r="P9" s="165" t="str"/>
    </row>
    <row r="10">
      <c r="A10" s="164" t="n"/>
      <c r="B10" s="164" t="n"/>
      <c r="C10" s="164" t="n"/>
      <c r="D10" s="164" t="n"/>
      <c r="E10" s="164" t="n"/>
      <c r="F10" s="164" t="n"/>
      <c r="G10" s="164" t="n"/>
      <c r="H10" s="164" t="n"/>
      <c r="I10" s="164" t="n"/>
      <c r="J10" s="164" t="n"/>
      <c r="K10" s="164" t="n"/>
      <c r="L10" s="164" t="n"/>
      <c r="M10" s="164" t="n"/>
      <c r="O10" s="31" t="inlineStr">
        <is>
          <t>Commune</t>
        </is>
      </c>
      <c r="P10" s="165" t="str"/>
    </row>
    <row r="11">
      <c r="A11" s="164" t="n"/>
      <c r="B11" s="164" t="n"/>
      <c r="C11" s="164" t="n"/>
      <c r="D11" s="164" t="n"/>
      <c r="E11" s="164" t="n"/>
      <c r="F11" s="164" t="n"/>
      <c r="G11" s="164" t="n"/>
      <c r="H11" s="164" t="n"/>
      <c r="I11" s="164" t="n"/>
      <c r="J11" s="164" t="n"/>
      <c r="K11" s="164" t="n"/>
      <c r="L11" s="164" t="n"/>
      <c r="M11" s="164" t="n"/>
      <c r="O11" s="31" t="inlineStr">
        <is>
          <t>Adresse</t>
        </is>
      </c>
      <c r="P11" s="165" t="str"/>
    </row>
    <row r="12">
      <c r="A12" s="164" t="n"/>
      <c r="B12" s="164" t="n"/>
      <c r="C12" s="164" t="n"/>
      <c r="D12" s="164" t="n"/>
      <c r="E12" s="164" t="n"/>
      <c r="F12" s="164" t="n"/>
      <c r="G12" s="164" t="n"/>
      <c r="H12" s="164" t="n"/>
      <c r="I12" s="164" t="n"/>
      <c r="J12" s="164" t="n"/>
      <c r="K12" s="164" t="n"/>
      <c r="L12" s="164" t="n"/>
      <c r="M12" s="164" t="n"/>
      <c r="O12" s="31" t="inlineStr">
        <is>
          <t>Type client</t>
        </is>
      </c>
      <c r="P12" s="165" t="inlineStr">
        <is>
          <t>PARTICULIER</t>
        </is>
      </c>
    </row>
    <row r="13">
      <c r="A13" s="164" t="n"/>
      <c r="B13" s="164" t="n"/>
      <c r="C13" s="164" t="n"/>
      <c r="D13" s="164" t="n"/>
      <c r="E13" s="164" t="n"/>
      <c r="F13" s="164" t="n"/>
      <c r="G13" s="164" t="n"/>
      <c r="H13" s="164" t="n"/>
      <c r="I13" s="164" t="n"/>
      <c r="J13" s="164" t="n"/>
      <c r="K13" s="164" t="n"/>
      <c r="L13" s="164" t="n"/>
      <c r="M13" s="164" t="n"/>
    </row>
    <row r="14">
      <c r="A14" s="164" t="n"/>
      <c r="B14" s="164" t="n"/>
      <c r="C14" s="164" t="n"/>
      <c r="D14" s="164" t="n"/>
      <c r="E14" s="164" t="n"/>
      <c r="F14" s="164" t="n"/>
      <c r="G14" s="164" t="n"/>
      <c r="H14" s="164" t="n"/>
      <c r="I14" s="164" t="n"/>
      <c r="J14" s="164" t="n"/>
      <c r="K14" s="164" t="n"/>
      <c r="L14" s="164" t="n"/>
      <c r="M14" s="164" t="n"/>
      <c r="O14" s="19" t="inlineStr">
        <is>
          <t>➕ AJOUTER CLIENT
(Bouton maquette)</t>
        </is>
      </c>
      <c r="P14" s="1" t="n"/>
    </row>
    <row r="15">
      <c r="A15" s="164" t="n"/>
      <c r="B15" s="164" t="n"/>
      <c r="C15" s="164" t="n"/>
      <c r="D15" s="164" t="n"/>
      <c r="E15" s="164" t="n"/>
      <c r="F15" s="164" t="n"/>
      <c r="G15" s="164" t="n"/>
      <c r="H15" s="164" t="n"/>
      <c r="I15" s="164" t="n"/>
      <c r="J15" s="164" t="n"/>
      <c r="K15" s="164" t="n"/>
      <c r="L15" s="164" t="n"/>
      <c r="M15" s="164" t="n"/>
      <c r="O15" s="1" t="n"/>
      <c r="P15" s="1" t="n"/>
    </row>
    <row r="16">
      <c r="A16" s="164" t="n"/>
      <c r="B16" s="164" t="n"/>
      <c r="C16" s="164" t="n"/>
      <c r="D16" s="164" t="n"/>
      <c r="E16" s="164" t="n"/>
      <c r="F16" s="164" t="n"/>
      <c r="G16" s="164" t="n"/>
      <c r="H16" s="164" t="n"/>
      <c r="I16" s="164" t="n"/>
      <c r="J16" s="164" t="n"/>
      <c r="K16" s="164" t="n"/>
      <c r="L16" s="164" t="n"/>
      <c r="M16" s="164" t="n"/>
    </row>
    <row r="17">
      <c r="A17" s="164" t="n"/>
      <c r="B17" s="164" t="n"/>
      <c r="C17" s="164" t="n"/>
      <c r="D17" s="164" t="n"/>
      <c r="E17" s="164" t="n"/>
      <c r="F17" s="164" t="n"/>
      <c r="G17" s="164" t="n"/>
      <c r="H17" s="164" t="n"/>
      <c r="I17" s="164" t="n"/>
      <c r="J17" s="164" t="n"/>
      <c r="K17" s="164" t="n"/>
      <c r="L17" s="164" t="n"/>
      <c r="M17" s="164" t="n"/>
    </row>
    <row r="18">
      <c r="A18" s="164" t="n"/>
      <c r="B18" s="164" t="n"/>
      <c r="C18" s="164" t="n"/>
      <c r="D18" s="164" t="n"/>
      <c r="E18" s="164" t="n"/>
      <c r="F18" s="164" t="n"/>
      <c r="G18" s="164" t="n"/>
      <c r="H18" s="164" t="n"/>
      <c r="I18" s="164" t="n"/>
      <c r="J18" s="164" t="n"/>
      <c r="K18" s="164" t="n"/>
      <c r="L18" s="164" t="n"/>
      <c r="M18" s="164" t="n"/>
    </row>
    <row r="19">
      <c r="A19" s="164" t="n"/>
      <c r="B19" s="164" t="n"/>
      <c r="C19" s="164" t="n"/>
      <c r="D19" s="164" t="n"/>
      <c r="E19" s="164" t="n"/>
      <c r="F19" s="164" t="n"/>
      <c r="G19" s="164" t="n"/>
      <c r="H19" s="164" t="n"/>
      <c r="I19" s="164" t="n"/>
      <c r="J19" s="164" t="n"/>
      <c r="K19" s="164" t="n"/>
      <c r="L19" s="164" t="n"/>
      <c r="M19" s="164" t="n"/>
    </row>
    <row r="20">
      <c r="A20" s="164" t="n"/>
      <c r="B20" s="164" t="n"/>
      <c r="C20" s="164" t="n"/>
      <c r="D20" s="164" t="n"/>
      <c r="E20" s="164" t="n"/>
      <c r="F20" s="164" t="n"/>
      <c r="G20" s="164" t="n"/>
      <c r="H20" s="164" t="n"/>
      <c r="I20" s="164" t="n"/>
      <c r="J20" s="164" t="n"/>
      <c r="K20" s="164" t="n"/>
      <c r="L20" s="164" t="n"/>
      <c r="M20" s="164" t="n"/>
    </row>
    <row r="21">
      <c r="A21" s="164" t="n"/>
      <c r="B21" s="164" t="n"/>
      <c r="C21" s="164" t="n"/>
      <c r="D21" s="164" t="n"/>
      <c r="E21" s="164" t="n"/>
      <c r="F21" s="164" t="n"/>
      <c r="G21" s="164" t="n"/>
      <c r="H21" s="164" t="n"/>
      <c r="I21" s="164" t="n"/>
      <c r="J21" s="164" t="n"/>
      <c r="K21" s="164" t="n"/>
      <c r="L21" s="164" t="n"/>
      <c r="M21" s="164" t="n"/>
    </row>
    <row r="22">
      <c r="A22" s="164" t="n"/>
      <c r="B22" s="164" t="n"/>
      <c r="C22" s="164" t="n"/>
      <c r="D22" s="164" t="n"/>
      <c r="E22" s="164" t="n"/>
      <c r="F22" s="164" t="n"/>
      <c r="G22" s="164" t="n"/>
      <c r="H22" s="164" t="n"/>
      <c r="I22" s="164" t="n"/>
      <c r="J22" s="164" t="n"/>
      <c r="K22" s="164" t="n"/>
      <c r="L22" s="164" t="n"/>
      <c r="M22" s="164" t="n"/>
    </row>
    <row r="23">
      <c r="A23" s="164" t="n"/>
      <c r="B23" s="164" t="n"/>
      <c r="C23" s="164" t="n"/>
      <c r="D23" s="164" t="n"/>
      <c r="E23" s="164" t="n"/>
      <c r="F23" s="164" t="n"/>
      <c r="G23" s="164" t="n"/>
      <c r="H23" s="164" t="n"/>
      <c r="I23" s="164" t="n"/>
      <c r="J23" s="164" t="n"/>
      <c r="K23" s="164" t="n"/>
      <c r="L23" s="164" t="n"/>
      <c r="M23" s="164" t="n"/>
    </row>
    <row r="24">
      <c r="A24" s="164" t="n"/>
      <c r="B24" s="164" t="n"/>
      <c r="C24" s="164" t="n"/>
      <c r="D24" s="164" t="n"/>
      <c r="E24" s="164" t="n"/>
      <c r="F24" s="164" t="n"/>
      <c r="G24" s="164" t="n"/>
      <c r="H24" s="164" t="n"/>
      <c r="I24" s="164" t="n"/>
      <c r="J24" s="164" t="n"/>
      <c r="K24" s="164" t="n"/>
      <c r="L24" s="164" t="n"/>
      <c r="M24" s="164" t="n"/>
    </row>
    <row r="25">
      <c r="A25" s="164" t="n"/>
      <c r="B25" s="164" t="n"/>
      <c r="C25" s="164" t="n"/>
      <c r="D25" s="164" t="n"/>
      <c r="E25" s="164" t="n"/>
      <c r="F25" s="164" t="n"/>
      <c r="G25" s="164" t="n"/>
      <c r="H25" s="164" t="n"/>
      <c r="I25" s="164" t="n"/>
      <c r="J25" s="164" t="n"/>
      <c r="K25" s="164" t="n"/>
      <c r="L25" s="164" t="n"/>
      <c r="M25" s="164" t="n"/>
    </row>
    <row r="26">
      <c r="A26" s="164" t="n"/>
      <c r="B26" s="164" t="n"/>
      <c r="C26" s="164" t="n"/>
      <c r="D26" s="164" t="n"/>
      <c r="E26" s="164" t="n"/>
      <c r="F26" s="164" t="n"/>
      <c r="G26" s="164" t="n"/>
      <c r="H26" s="164" t="n"/>
      <c r="I26" s="164" t="n"/>
      <c r="J26" s="164" t="n"/>
      <c r="K26" s="164" t="n"/>
      <c r="L26" s="164" t="n"/>
      <c r="M26" s="164" t="n"/>
    </row>
    <row r="27">
      <c r="A27" s="164" t="n"/>
      <c r="B27" s="164" t="n"/>
      <c r="C27" s="164" t="n"/>
      <c r="D27" s="164" t="n"/>
      <c r="E27" s="164" t="n"/>
      <c r="F27" s="164" t="n"/>
      <c r="G27" s="164" t="n"/>
      <c r="H27" s="164" t="n"/>
      <c r="I27" s="164" t="n"/>
      <c r="J27" s="164" t="n"/>
      <c r="K27" s="164" t="n"/>
      <c r="L27" s="164" t="n"/>
      <c r="M27" s="164" t="n"/>
    </row>
    <row r="28">
      <c r="A28" s="164" t="n"/>
      <c r="B28" s="164" t="n"/>
      <c r="C28" s="164" t="n"/>
      <c r="D28" s="164" t="n"/>
      <c r="E28" s="164" t="n"/>
      <c r="F28" s="164" t="n"/>
      <c r="G28" s="164" t="n"/>
      <c r="H28" s="164" t="n"/>
      <c r="I28" s="164" t="n"/>
      <c r="J28" s="164" t="n"/>
      <c r="K28" s="164" t="n"/>
      <c r="L28" s="164" t="n"/>
      <c r="M28" s="164" t="n"/>
    </row>
    <row r="29">
      <c r="A29" s="164" t="n"/>
      <c r="B29" s="164" t="n"/>
      <c r="C29" s="164" t="n"/>
      <c r="D29" s="164" t="n"/>
      <c r="E29" s="164" t="n"/>
      <c r="F29" s="164" t="n"/>
      <c r="G29" s="164" t="n"/>
      <c r="H29" s="164" t="n"/>
      <c r="I29" s="164" t="n"/>
      <c r="J29" s="164" t="n"/>
      <c r="K29" s="164" t="n"/>
      <c r="L29" s="164" t="n"/>
      <c r="M29" s="164" t="n"/>
    </row>
    <row r="30">
      <c r="A30" s="164" t="n"/>
      <c r="B30" s="164" t="n"/>
      <c r="C30" s="164" t="n"/>
      <c r="D30" s="164" t="n"/>
      <c r="E30" s="164" t="n"/>
      <c r="F30" s="164" t="n"/>
      <c r="G30" s="164" t="n"/>
      <c r="H30" s="164" t="n"/>
      <c r="I30" s="164" t="n"/>
      <c r="J30" s="164" t="n"/>
      <c r="K30" s="164" t="n"/>
      <c r="L30" s="164" t="n"/>
      <c r="M30" s="164" t="n"/>
    </row>
    <row r="31">
      <c r="A31" s="164" t="n"/>
      <c r="B31" s="164" t="n"/>
      <c r="C31" s="164" t="n"/>
      <c r="D31" s="164" t="n"/>
      <c r="E31" s="164" t="n"/>
      <c r="F31" s="164" t="n"/>
      <c r="G31" s="164" t="n"/>
      <c r="H31" s="164" t="n"/>
      <c r="I31" s="164" t="n"/>
      <c r="J31" s="164" t="n"/>
      <c r="K31" s="164" t="n"/>
      <c r="L31" s="164" t="n"/>
      <c r="M31" s="164" t="n"/>
    </row>
    <row r="32">
      <c r="A32" s="164" t="n"/>
      <c r="B32" s="164" t="n"/>
      <c r="C32" s="164" t="n"/>
      <c r="D32" s="164" t="n"/>
      <c r="E32" s="164" t="n"/>
      <c r="F32" s="164" t="n"/>
      <c r="G32" s="164" t="n"/>
      <c r="H32" s="164" t="n"/>
      <c r="I32" s="164" t="n"/>
      <c r="J32" s="164" t="n"/>
      <c r="K32" s="164" t="n"/>
      <c r="L32" s="164" t="n"/>
      <c r="M32" s="164" t="n"/>
    </row>
    <row r="33">
      <c r="A33" s="164" t="n"/>
      <c r="B33" s="164" t="n"/>
      <c r="C33" s="164" t="n"/>
      <c r="D33" s="164" t="n"/>
      <c r="E33" s="164" t="n"/>
      <c r="F33" s="164" t="n"/>
      <c r="G33" s="164" t="n"/>
      <c r="H33" s="164" t="n"/>
      <c r="I33" s="164" t="n"/>
      <c r="J33" s="164" t="n"/>
      <c r="K33" s="164" t="n"/>
      <c r="L33" s="164" t="n"/>
      <c r="M33" s="164" t="n"/>
    </row>
    <row r="34">
      <c r="A34" s="164" t="n"/>
      <c r="B34" s="164" t="n"/>
      <c r="C34" s="164" t="n"/>
      <c r="D34" s="164" t="n"/>
      <c r="E34" s="164" t="n"/>
      <c r="F34" s="164" t="n"/>
      <c r="G34" s="164" t="n"/>
      <c r="H34" s="164" t="n"/>
      <c r="I34" s="164" t="n"/>
      <c r="J34" s="164" t="n"/>
      <c r="K34" s="164" t="n"/>
      <c r="L34" s="164" t="n"/>
      <c r="M34" s="164" t="n"/>
    </row>
    <row r="35">
      <c r="A35" s="164" t="n"/>
      <c r="B35" s="164" t="n"/>
      <c r="C35" s="164" t="n"/>
      <c r="D35" s="164" t="n"/>
      <c r="E35" s="164" t="n"/>
      <c r="F35" s="164" t="n"/>
      <c r="G35" s="164" t="n"/>
      <c r="H35" s="164" t="n"/>
      <c r="I35" s="164" t="n"/>
      <c r="J35" s="164" t="n"/>
      <c r="K35" s="164" t="n"/>
      <c r="L35" s="164" t="n"/>
      <c r="M35" s="164" t="n"/>
    </row>
    <row r="36">
      <c r="A36" s="164" t="n"/>
      <c r="B36" s="164" t="n"/>
      <c r="C36" s="164" t="n"/>
      <c r="D36" s="164" t="n"/>
      <c r="E36" s="164" t="n"/>
      <c r="F36" s="164" t="n"/>
      <c r="G36" s="164" t="n"/>
      <c r="H36" s="164" t="n"/>
      <c r="I36" s="164" t="n"/>
      <c r="J36" s="164" t="n"/>
      <c r="K36" s="164" t="n"/>
      <c r="L36" s="164" t="n"/>
      <c r="M36" s="164" t="n"/>
    </row>
    <row r="37">
      <c r="A37" s="164" t="n"/>
      <c r="B37" s="164" t="n"/>
      <c r="C37" s="164" t="n"/>
      <c r="D37" s="164" t="n"/>
      <c r="E37" s="164" t="n"/>
      <c r="F37" s="164" t="n"/>
      <c r="G37" s="164" t="n"/>
      <c r="H37" s="164" t="n"/>
      <c r="I37" s="164" t="n"/>
      <c r="J37" s="164" t="n"/>
      <c r="K37" s="164" t="n"/>
      <c r="L37" s="164" t="n"/>
      <c r="M37" s="164" t="n"/>
    </row>
    <row r="38">
      <c r="A38" s="164" t="n"/>
      <c r="B38" s="164" t="n"/>
      <c r="C38" s="164" t="n"/>
      <c r="D38" s="164" t="n"/>
      <c r="E38" s="164" t="n"/>
      <c r="F38" s="164" t="n"/>
      <c r="G38" s="164" t="n"/>
      <c r="H38" s="164" t="n"/>
      <c r="I38" s="164" t="n"/>
      <c r="J38" s="164" t="n"/>
      <c r="K38" s="164" t="n"/>
      <c r="L38" s="164" t="n"/>
      <c r="M38" s="164" t="n"/>
    </row>
    <row r="39">
      <c r="A39" s="164" t="n"/>
      <c r="B39" s="164" t="n"/>
      <c r="C39" s="164" t="n"/>
      <c r="D39" s="164" t="n"/>
      <c r="E39" s="164" t="n"/>
      <c r="F39" s="164" t="n"/>
      <c r="G39" s="164" t="n"/>
      <c r="H39" s="164" t="n"/>
      <c r="I39" s="164" t="n"/>
      <c r="J39" s="164" t="n"/>
      <c r="K39" s="164" t="n"/>
      <c r="L39" s="164" t="n"/>
      <c r="M39" s="164" t="n"/>
    </row>
    <row r="40">
      <c r="A40" s="164" t="n"/>
      <c r="B40" s="164" t="n"/>
      <c r="C40" s="164" t="n"/>
      <c r="D40" s="164" t="n"/>
      <c r="E40" s="164" t="n"/>
      <c r="F40" s="164" t="n"/>
      <c r="G40" s="164" t="n"/>
      <c r="H40" s="164" t="n"/>
      <c r="I40" s="164" t="n"/>
      <c r="J40" s="164" t="n"/>
      <c r="K40" s="164" t="n"/>
      <c r="L40" s="164" t="n"/>
      <c r="M40" s="164" t="n"/>
    </row>
    <row r="41">
      <c r="A41" s="164" t="n"/>
      <c r="B41" s="164" t="n"/>
      <c r="C41" s="164" t="n"/>
      <c r="D41" s="164" t="n"/>
      <c r="E41" s="164" t="n"/>
      <c r="F41" s="164" t="n"/>
      <c r="G41" s="164" t="n"/>
      <c r="H41" s="164" t="n"/>
      <c r="I41" s="164" t="n"/>
      <c r="J41" s="164" t="n"/>
      <c r="K41" s="164" t="n"/>
      <c r="L41" s="164" t="n"/>
      <c r="M41" s="164" t="n"/>
    </row>
    <row r="42">
      <c r="A42" s="164" t="n"/>
      <c r="B42" s="164" t="n"/>
      <c r="C42" s="164" t="n"/>
      <c r="D42" s="164" t="n"/>
      <c r="E42" s="164" t="n"/>
      <c r="F42" s="164" t="n"/>
      <c r="G42" s="164" t="n"/>
      <c r="H42" s="164" t="n"/>
      <c r="I42" s="164" t="n"/>
      <c r="J42" s="164" t="n"/>
      <c r="K42" s="164" t="n"/>
      <c r="L42" s="164" t="n"/>
      <c r="M42" s="164" t="n"/>
    </row>
    <row r="43">
      <c r="A43" s="164" t="n"/>
      <c r="B43" s="164" t="n"/>
      <c r="C43" s="164" t="n"/>
      <c r="D43" s="164" t="n"/>
      <c r="E43" s="164" t="n"/>
      <c r="F43" s="164" t="n"/>
      <c r="G43" s="164" t="n"/>
      <c r="H43" s="164" t="n"/>
      <c r="I43" s="164" t="n"/>
      <c r="J43" s="164" t="n"/>
      <c r="K43" s="164" t="n"/>
      <c r="L43" s="164" t="n"/>
      <c r="M43" s="164" t="n"/>
    </row>
    <row r="44">
      <c r="A44" s="164" t="n"/>
      <c r="B44" s="164" t="n"/>
      <c r="C44" s="164" t="n"/>
      <c r="D44" s="164" t="n"/>
      <c r="E44" s="164" t="n"/>
      <c r="F44" s="164" t="n"/>
      <c r="G44" s="164" t="n"/>
      <c r="H44" s="164" t="n"/>
      <c r="I44" s="164" t="n"/>
      <c r="J44" s="164" t="n"/>
      <c r="K44" s="164" t="n"/>
      <c r="L44" s="164" t="n"/>
      <c r="M44" s="164" t="n"/>
    </row>
    <row r="45">
      <c r="A45" s="164" t="n"/>
      <c r="B45" s="164" t="n"/>
      <c r="C45" s="164" t="n"/>
      <c r="D45" s="164" t="n"/>
      <c r="E45" s="164" t="n"/>
      <c r="F45" s="164" t="n"/>
      <c r="G45" s="164" t="n"/>
      <c r="H45" s="164" t="n"/>
      <c r="I45" s="164" t="n"/>
      <c r="J45" s="164" t="n"/>
      <c r="K45" s="164" t="n"/>
      <c r="L45" s="164" t="n"/>
      <c r="M45" s="164" t="n"/>
    </row>
    <row r="46">
      <c r="A46" s="164" t="n"/>
      <c r="B46" s="164" t="n"/>
      <c r="C46" s="164" t="n"/>
      <c r="D46" s="164" t="n"/>
      <c r="E46" s="164" t="n"/>
      <c r="F46" s="164" t="n"/>
      <c r="G46" s="164" t="n"/>
      <c r="H46" s="164" t="n"/>
      <c r="I46" s="164" t="n"/>
      <c r="J46" s="164" t="n"/>
      <c r="K46" s="164" t="n"/>
      <c r="L46" s="164" t="n"/>
      <c r="M46" s="164" t="n"/>
    </row>
    <row r="47">
      <c r="A47" s="164" t="n"/>
      <c r="B47" s="164" t="n"/>
      <c r="C47" s="164" t="n"/>
      <c r="D47" s="164" t="n"/>
      <c r="E47" s="164" t="n"/>
      <c r="F47" s="164" t="n"/>
      <c r="G47" s="164" t="n"/>
      <c r="H47" s="164" t="n"/>
      <c r="I47" s="164" t="n"/>
      <c r="J47" s="164" t="n"/>
      <c r="K47" s="164" t="n"/>
      <c r="L47" s="164" t="n"/>
      <c r="M47" s="164" t="n"/>
    </row>
    <row r="48">
      <c r="A48" s="164" t="n"/>
      <c r="B48" s="164" t="n"/>
      <c r="C48" s="164" t="n"/>
      <c r="D48" s="164" t="n"/>
      <c r="E48" s="164" t="n"/>
      <c r="F48" s="164" t="n"/>
      <c r="G48" s="164" t="n"/>
      <c r="H48" s="164" t="n"/>
      <c r="I48" s="164" t="n"/>
      <c r="J48" s="164" t="n"/>
      <c r="K48" s="164" t="n"/>
      <c r="L48" s="164" t="n"/>
      <c r="M48" s="164" t="n"/>
    </row>
    <row r="49">
      <c r="A49" s="164" t="n"/>
      <c r="B49" s="164" t="n"/>
      <c r="C49" s="164" t="n"/>
      <c r="D49" s="164" t="n"/>
      <c r="E49" s="164" t="n"/>
      <c r="F49" s="164" t="n"/>
      <c r="G49" s="164" t="n"/>
      <c r="H49" s="164" t="n"/>
      <c r="I49" s="164" t="n"/>
      <c r="J49" s="164" t="n"/>
      <c r="K49" s="164" t="n"/>
      <c r="L49" s="164" t="n"/>
      <c r="M49" s="164" t="n"/>
    </row>
    <row r="50">
      <c r="A50" s="164" t="n"/>
      <c r="B50" s="164" t="n"/>
      <c r="C50" s="164" t="n"/>
      <c r="D50" s="164" t="n"/>
      <c r="E50" s="164" t="n"/>
      <c r="F50" s="164" t="n"/>
      <c r="G50" s="164" t="n"/>
      <c r="H50" s="164" t="n"/>
      <c r="I50" s="164" t="n"/>
      <c r="J50" s="164" t="n"/>
      <c r="K50" s="164" t="n"/>
      <c r="L50" s="164" t="n"/>
      <c r="M50" s="164" t="n"/>
    </row>
    <row r="51">
      <c r="A51" s="164" t="n"/>
      <c r="B51" s="164" t="n"/>
      <c r="C51" s="164" t="n"/>
      <c r="D51" s="164" t="n"/>
      <c r="E51" s="164" t="n"/>
      <c r="F51" s="164" t="n"/>
      <c r="G51" s="164" t="n"/>
      <c r="H51" s="164" t="n"/>
      <c r="I51" s="164" t="n"/>
      <c r="J51" s="164" t="n"/>
      <c r="K51" s="164" t="n"/>
      <c r="L51" s="164" t="n"/>
      <c r="M51" s="164" t="n"/>
    </row>
    <row r="52">
      <c r="A52" s="164" t="n"/>
      <c r="B52" s="164" t="n"/>
      <c r="C52" s="164" t="n"/>
      <c r="D52" s="164" t="n"/>
      <c r="E52" s="164" t="n"/>
      <c r="F52" s="164" t="n"/>
      <c r="G52" s="164" t="n"/>
      <c r="H52" s="164" t="n"/>
      <c r="I52" s="164" t="n"/>
      <c r="J52" s="164" t="n"/>
      <c r="K52" s="164" t="n"/>
      <c r="L52" s="164" t="n"/>
      <c r="M52" s="164" t="n"/>
    </row>
    <row r="53">
      <c r="A53" s="164" t="n"/>
      <c r="B53" s="164" t="n"/>
      <c r="C53" s="164" t="n"/>
      <c r="D53" s="164" t="n"/>
      <c r="E53" s="164" t="n"/>
      <c r="F53" s="164" t="n"/>
      <c r="G53" s="164" t="n"/>
      <c r="H53" s="164" t="n"/>
      <c r="I53" s="164" t="n"/>
      <c r="J53" s="164" t="n"/>
      <c r="K53" s="164" t="n"/>
      <c r="L53" s="164" t="n"/>
      <c r="M53" s="164" t="n"/>
    </row>
    <row r="54">
      <c r="A54" s="164" t="n"/>
      <c r="B54" s="164" t="n"/>
      <c r="C54" s="164" t="n"/>
      <c r="D54" s="164" t="n"/>
      <c r="E54" s="164" t="n"/>
      <c r="F54" s="164" t="n"/>
      <c r="G54" s="164" t="n"/>
      <c r="H54" s="164" t="n"/>
      <c r="I54" s="164" t="n"/>
      <c r="J54" s="164" t="n"/>
      <c r="K54" s="164" t="n"/>
      <c r="L54" s="164" t="n"/>
      <c r="M54" s="164" t="n"/>
    </row>
    <row r="55">
      <c r="A55" s="164" t="n"/>
      <c r="B55" s="164" t="n"/>
      <c r="C55" s="164" t="n"/>
      <c r="D55" s="164" t="n"/>
      <c r="E55" s="164" t="n"/>
      <c r="F55" s="164" t="n"/>
      <c r="G55" s="164" t="n"/>
      <c r="H55" s="164" t="n"/>
      <c r="I55" s="164" t="n"/>
      <c r="J55" s="164" t="n"/>
      <c r="K55" s="164" t="n"/>
      <c r="L55" s="164" t="n"/>
      <c r="M55" s="164" t="n"/>
    </row>
    <row r="56">
      <c r="A56" s="164" t="n"/>
      <c r="B56" s="164" t="n"/>
      <c r="C56" s="164" t="n"/>
      <c r="D56" s="164" t="n"/>
      <c r="E56" s="164" t="n"/>
      <c r="F56" s="164" t="n"/>
      <c r="G56" s="164" t="n"/>
      <c r="H56" s="164" t="n"/>
      <c r="I56" s="164" t="n"/>
      <c r="J56" s="164" t="n"/>
      <c r="K56" s="164" t="n"/>
      <c r="L56" s="164" t="n"/>
      <c r="M56" s="164" t="n"/>
    </row>
    <row r="57">
      <c r="A57" s="164" t="n"/>
      <c r="B57" s="164" t="n"/>
      <c r="C57" s="164" t="n"/>
      <c r="D57" s="164" t="n"/>
      <c r="E57" s="164" t="n"/>
      <c r="F57" s="164" t="n"/>
      <c r="G57" s="164" t="n"/>
      <c r="H57" s="164" t="n"/>
      <c r="I57" s="164" t="n"/>
      <c r="J57" s="164" t="n"/>
      <c r="K57" s="164" t="n"/>
      <c r="L57" s="164" t="n"/>
      <c r="M57" s="164" t="n"/>
    </row>
    <row r="58">
      <c r="A58" s="164" t="n"/>
      <c r="B58" s="164" t="n"/>
      <c r="C58" s="164" t="n"/>
      <c r="D58" s="164" t="n"/>
      <c r="E58" s="164" t="n"/>
      <c r="F58" s="164" t="n"/>
      <c r="G58" s="164" t="n"/>
      <c r="H58" s="164" t="n"/>
      <c r="I58" s="164" t="n"/>
      <c r="J58" s="164" t="n"/>
      <c r="K58" s="164" t="n"/>
      <c r="L58" s="164" t="n"/>
      <c r="M58" s="164" t="n"/>
    </row>
    <row r="59">
      <c r="A59" s="164" t="n"/>
      <c r="B59" s="164" t="n"/>
      <c r="C59" s="164" t="n"/>
      <c r="D59" s="164" t="n"/>
      <c r="E59" s="164" t="n"/>
      <c r="F59" s="164" t="n"/>
      <c r="G59" s="164" t="n"/>
      <c r="H59" s="164" t="n"/>
      <c r="I59" s="164" t="n"/>
      <c r="J59" s="164" t="n"/>
      <c r="K59" s="164" t="n"/>
      <c r="L59" s="164" t="n"/>
      <c r="M59" s="164" t="n"/>
    </row>
    <row r="60">
      <c r="A60" s="164" t="n"/>
      <c r="B60" s="164" t="n"/>
      <c r="C60" s="164" t="n"/>
      <c r="D60" s="164" t="n"/>
      <c r="E60" s="164" t="n"/>
      <c r="F60" s="164" t="n"/>
      <c r="G60" s="164" t="n"/>
      <c r="H60" s="164" t="n"/>
      <c r="I60" s="164" t="n"/>
      <c r="J60" s="164" t="n"/>
      <c r="K60" s="164" t="n"/>
      <c r="L60" s="164" t="n"/>
      <c r="M60" s="164" t="n"/>
    </row>
    <row r="61">
      <c r="A61" s="164" t="n"/>
      <c r="B61" s="164" t="n"/>
      <c r="C61" s="164" t="n"/>
      <c r="D61" s="164" t="n"/>
      <c r="E61" s="164" t="n"/>
      <c r="F61" s="164" t="n"/>
      <c r="G61" s="164" t="n"/>
      <c r="H61" s="164" t="n"/>
      <c r="I61" s="164" t="n"/>
      <c r="J61" s="164" t="n"/>
      <c r="K61" s="164" t="n"/>
      <c r="L61" s="164" t="n"/>
      <c r="M61" s="164" t="n"/>
    </row>
    <row r="62">
      <c r="A62" s="164" t="n"/>
      <c r="B62" s="164" t="n"/>
      <c r="C62" s="164" t="n"/>
      <c r="D62" s="164" t="n"/>
      <c r="E62" s="164" t="n"/>
      <c r="F62" s="164" t="n"/>
      <c r="G62" s="164" t="n"/>
      <c r="H62" s="164" t="n"/>
      <c r="I62" s="164" t="n"/>
      <c r="J62" s="164" t="n"/>
      <c r="K62" s="164" t="n"/>
      <c r="L62" s="164" t="n"/>
      <c r="M62" s="164" t="n"/>
    </row>
    <row r="63">
      <c r="A63" s="164" t="n"/>
      <c r="B63" s="164" t="n"/>
      <c r="C63" s="164" t="n"/>
      <c r="D63" s="164" t="n"/>
      <c r="E63" s="164" t="n"/>
      <c r="F63" s="164" t="n"/>
      <c r="G63" s="164" t="n"/>
      <c r="H63" s="164" t="n"/>
      <c r="I63" s="164" t="n"/>
      <c r="J63" s="164" t="n"/>
      <c r="K63" s="164" t="n"/>
      <c r="L63" s="164" t="n"/>
      <c r="M63" s="164" t="n"/>
    </row>
    <row r="64">
      <c r="A64" s="164" t="n"/>
      <c r="B64" s="164" t="n"/>
      <c r="C64" s="164" t="n"/>
      <c r="D64" s="164" t="n"/>
      <c r="E64" s="164" t="n"/>
      <c r="F64" s="164" t="n"/>
      <c r="G64" s="164" t="n"/>
      <c r="H64" s="164" t="n"/>
      <c r="I64" s="164" t="n"/>
      <c r="J64" s="164" t="n"/>
      <c r="K64" s="164" t="n"/>
      <c r="L64" s="164" t="n"/>
      <c r="M64" s="164" t="n"/>
    </row>
    <row r="65">
      <c r="A65" s="164" t="n"/>
      <c r="B65" s="164" t="n"/>
      <c r="C65" s="164" t="n"/>
      <c r="D65" s="164" t="n"/>
      <c r="E65" s="164" t="n"/>
      <c r="F65" s="164" t="n"/>
      <c r="G65" s="164" t="n"/>
      <c r="H65" s="164" t="n"/>
      <c r="I65" s="164" t="n"/>
      <c r="J65" s="164" t="n"/>
      <c r="K65" s="164" t="n"/>
      <c r="L65" s="164" t="n"/>
      <c r="M65" s="164" t="n"/>
    </row>
    <row r="66">
      <c r="A66" s="164" t="n"/>
      <c r="B66" s="164" t="n"/>
      <c r="C66" s="164" t="n"/>
      <c r="D66" s="164" t="n"/>
      <c r="E66" s="164" t="n"/>
      <c r="F66" s="164" t="n"/>
      <c r="G66" s="164" t="n"/>
      <c r="H66" s="164" t="n"/>
      <c r="I66" s="164" t="n"/>
      <c r="J66" s="164" t="n"/>
      <c r="K66" s="164" t="n"/>
      <c r="L66" s="164" t="n"/>
      <c r="M66" s="164" t="n"/>
    </row>
    <row r="67">
      <c r="A67" s="164" t="n"/>
      <c r="B67" s="164" t="n"/>
      <c r="C67" s="164" t="n"/>
      <c r="D67" s="164" t="n"/>
      <c r="E67" s="164" t="n"/>
      <c r="F67" s="164" t="n"/>
      <c r="G67" s="164" t="n"/>
      <c r="H67" s="164" t="n"/>
      <c r="I67" s="164" t="n"/>
      <c r="J67" s="164" t="n"/>
      <c r="K67" s="164" t="n"/>
      <c r="L67" s="164" t="n"/>
      <c r="M67" s="164" t="n"/>
    </row>
    <row r="68">
      <c r="A68" s="164" t="n"/>
      <c r="B68" s="164" t="n"/>
      <c r="C68" s="164" t="n"/>
      <c r="D68" s="164" t="n"/>
      <c r="E68" s="164" t="n"/>
      <c r="F68" s="164" t="n"/>
      <c r="G68" s="164" t="n"/>
      <c r="H68" s="164" t="n"/>
      <c r="I68" s="164" t="n"/>
      <c r="J68" s="164" t="n"/>
      <c r="K68" s="164" t="n"/>
      <c r="L68" s="164" t="n"/>
      <c r="M68" s="164" t="n"/>
    </row>
    <row r="69">
      <c r="A69" s="164" t="n"/>
      <c r="B69" s="164" t="n"/>
      <c r="C69" s="164" t="n"/>
      <c r="D69" s="164" t="n"/>
      <c r="E69" s="164" t="n"/>
      <c r="F69" s="164" t="n"/>
      <c r="G69" s="164" t="n"/>
      <c r="H69" s="164" t="n"/>
      <c r="I69" s="164" t="n"/>
      <c r="J69" s="164" t="n"/>
      <c r="K69" s="164" t="n"/>
      <c r="L69" s="164" t="n"/>
      <c r="M69" s="164" t="n"/>
    </row>
    <row r="70">
      <c r="A70" s="164" t="n"/>
      <c r="B70" s="164" t="n"/>
      <c r="C70" s="164" t="n"/>
      <c r="D70" s="164" t="n"/>
      <c r="E70" s="164" t="n"/>
      <c r="F70" s="164" t="n"/>
      <c r="G70" s="164" t="n"/>
      <c r="H70" s="164" t="n"/>
      <c r="I70" s="164" t="n"/>
      <c r="J70" s="164" t="n"/>
      <c r="K70" s="164" t="n"/>
      <c r="L70" s="164" t="n"/>
      <c r="M70" s="164" t="n"/>
    </row>
    <row r="71">
      <c r="A71" s="164" t="n"/>
      <c r="B71" s="164" t="n"/>
      <c r="C71" s="164" t="n"/>
      <c r="D71" s="164" t="n"/>
      <c r="E71" s="164" t="n"/>
      <c r="F71" s="164" t="n"/>
      <c r="G71" s="164" t="n"/>
      <c r="H71" s="164" t="n"/>
      <c r="I71" s="164" t="n"/>
      <c r="J71" s="164" t="n"/>
      <c r="K71" s="164" t="n"/>
      <c r="L71" s="164" t="n"/>
      <c r="M71" s="164" t="n"/>
    </row>
    <row r="72">
      <c r="A72" s="164" t="n"/>
      <c r="B72" s="164" t="n"/>
      <c r="C72" s="164" t="n"/>
      <c r="D72" s="164" t="n"/>
      <c r="E72" s="164" t="n"/>
      <c r="F72" s="164" t="n"/>
      <c r="G72" s="164" t="n"/>
      <c r="H72" s="164" t="n"/>
      <c r="I72" s="164" t="n"/>
      <c r="J72" s="164" t="n"/>
      <c r="K72" s="164" t="n"/>
      <c r="L72" s="164" t="n"/>
      <c r="M72" s="164" t="n"/>
    </row>
    <row r="73">
      <c r="A73" s="164" t="n"/>
      <c r="B73" s="164" t="n"/>
      <c r="C73" s="164" t="n"/>
      <c r="D73" s="164" t="n"/>
      <c r="E73" s="164" t="n"/>
      <c r="F73" s="164" t="n"/>
      <c r="G73" s="164" t="n"/>
      <c r="H73" s="164" t="n"/>
      <c r="I73" s="164" t="n"/>
      <c r="J73" s="164" t="n"/>
      <c r="K73" s="164" t="n"/>
      <c r="L73" s="164" t="n"/>
      <c r="M73" s="164" t="n"/>
    </row>
    <row r="74">
      <c r="A74" s="164" t="n"/>
      <c r="B74" s="164" t="n"/>
      <c r="C74" s="164" t="n"/>
      <c r="D74" s="164" t="n"/>
      <c r="E74" s="164" t="n"/>
      <c r="F74" s="164" t="n"/>
      <c r="G74" s="164" t="n"/>
      <c r="H74" s="164" t="n"/>
      <c r="I74" s="164" t="n"/>
      <c r="J74" s="164" t="n"/>
      <c r="K74" s="164" t="n"/>
      <c r="L74" s="164" t="n"/>
      <c r="M74" s="164" t="n"/>
    </row>
    <row r="75">
      <c r="A75" s="164" t="n"/>
      <c r="B75" s="164" t="n"/>
      <c r="C75" s="164" t="n"/>
      <c r="D75" s="164" t="n"/>
      <c r="E75" s="164" t="n"/>
      <c r="F75" s="164" t="n"/>
      <c r="G75" s="164" t="n"/>
      <c r="H75" s="164" t="n"/>
      <c r="I75" s="164" t="n"/>
      <c r="J75" s="164" t="n"/>
      <c r="K75" s="164" t="n"/>
      <c r="L75" s="164" t="n"/>
      <c r="M75" s="164" t="n"/>
    </row>
    <row r="76">
      <c r="A76" s="164" t="n"/>
      <c r="B76" s="164" t="n"/>
      <c r="C76" s="164" t="n"/>
      <c r="D76" s="164" t="n"/>
      <c r="E76" s="164" t="n"/>
      <c r="F76" s="164" t="n"/>
      <c r="G76" s="164" t="n"/>
      <c r="H76" s="164" t="n"/>
      <c r="I76" s="164" t="n"/>
      <c r="J76" s="164" t="n"/>
      <c r="K76" s="164" t="n"/>
      <c r="L76" s="164" t="n"/>
      <c r="M76" s="164" t="n"/>
    </row>
    <row r="77">
      <c r="A77" s="164" t="n"/>
      <c r="B77" s="164" t="n"/>
      <c r="C77" s="164" t="n"/>
      <c r="D77" s="164" t="n"/>
      <c r="E77" s="164" t="n"/>
      <c r="F77" s="164" t="n"/>
      <c r="G77" s="164" t="n"/>
      <c r="H77" s="164" t="n"/>
      <c r="I77" s="164" t="n"/>
      <c r="J77" s="164" t="n"/>
      <c r="K77" s="164" t="n"/>
      <c r="L77" s="164" t="n"/>
      <c r="M77" s="164" t="n"/>
    </row>
    <row r="78">
      <c r="A78" s="164" t="n"/>
      <c r="B78" s="164" t="n"/>
      <c r="C78" s="164" t="n"/>
      <c r="D78" s="164" t="n"/>
      <c r="E78" s="164" t="n"/>
      <c r="F78" s="164" t="n"/>
      <c r="G78" s="164" t="n"/>
      <c r="H78" s="164" t="n"/>
      <c r="I78" s="164" t="n"/>
      <c r="J78" s="164" t="n"/>
      <c r="K78" s="164" t="n"/>
      <c r="L78" s="164" t="n"/>
      <c r="M78" s="164" t="n"/>
    </row>
    <row r="79">
      <c r="A79" s="164" t="n"/>
      <c r="B79" s="164" t="n"/>
      <c r="C79" s="164" t="n"/>
      <c r="D79" s="164" t="n"/>
      <c r="E79" s="164" t="n"/>
      <c r="F79" s="164" t="n"/>
      <c r="G79" s="164" t="n"/>
      <c r="H79" s="164" t="n"/>
      <c r="I79" s="164" t="n"/>
      <c r="J79" s="164" t="n"/>
      <c r="K79" s="164" t="n"/>
      <c r="L79" s="164" t="n"/>
      <c r="M79" s="164" t="n"/>
    </row>
    <row r="80">
      <c r="A80" s="164" t="n"/>
      <c r="B80" s="164" t="n"/>
      <c r="C80" s="164" t="n"/>
      <c r="D80" s="164" t="n"/>
      <c r="E80" s="164" t="n"/>
      <c r="F80" s="164" t="n"/>
      <c r="G80" s="164" t="n"/>
      <c r="H80" s="164" t="n"/>
      <c r="I80" s="164" t="n"/>
      <c r="J80" s="164" t="n"/>
      <c r="K80" s="164" t="n"/>
      <c r="L80" s="164" t="n"/>
      <c r="M80" s="164" t="n"/>
    </row>
    <row r="81">
      <c r="A81" s="164" t="n"/>
      <c r="B81" s="164" t="n"/>
      <c r="C81" s="164" t="n"/>
      <c r="D81" s="164" t="n"/>
      <c r="E81" s="164" t="n"/>
      <c r="F81" s="164" t="n"/>
      <c r="G81" s="164" t="n"/>
      <c r="H81" s="164" t="n"/>
      <c r="I81" s="164" t="n"/>
      <c r="J81" s="164" t="n"/>
      <c r="K81" s="164" t="n"/>
      <c r="L81" s="164" t="n"/>
      <c r="M81" s="164" t="n"/>
    </row>
    <row r="82">
      <c r="A82" s="164" t="n"/>
      <c r="B82" s="164" t="n"/>
      <c r="C82" s="164" t="n"/>
      <c r="D82" s="164" t="n"/>
      <c r="E82" s="164" t="n"/>
      <c r="F82" s="164" t="n"/>
      <c r="G82" s="164" t="n"/>
      <c r="H82" s="164" t="n"/>
      <c r="I82" s="164" t="n"/>
      <c r="J82" s="164" t="n"/>
      <c r="K82" s="164" t="n"/>
      <c r="L82" s="164" t="n"/>
      <c r="M82" s="164" t="n"/>
    </row>
    <row r="83">
      <c r="A83" s="164" t="n"/>
      <c r="B83" s="164" t="n"/>
      <c r="C83" s="164" t="n"/>
      <c r="D83" s="164" t="n"/>
      <c r="E83" s="164" t="n"/>
      <c r="F83" s="164" t="n"/>
      <c r="G83" s="164" t="n"/>
      <c r="H83" s="164" t="n"/>
      <c r="I83" s="164" t="n"/>
      <c r="J83" s="164" t="n"/>
      <c r="K83" s="164" t="n"/>
      <c r="L83" s="164" t="n"/>
      <c r="M83" s="164" t="n"/>
    </row>
    <row r="84">
      <c r="A84" s="164" t="n"/>
      <c r="B84" s="164" t="n"/>
      <c r="C84" s="164" t="n"/>
      <c r="D84" s="164" t="n"/>
      <c r="E84" s="164" t="n"/>
      <c r="F84" s="164" t="n"/>
      <c r="G84" s="164" t="n"/>
      <c r="H84" s="164" t="n"/>
      <c r="I84" s="164" t="n"/>
      <c r="J84" s="164" t="n"/>
      <c r="K84" s="164" t="n"/>
      <c r="L84" s="164" t="n"/>
      <c r="M84" s="164" t="n"/>
    </row>
    <row r="85">
      <c r="A85" s="164" t="n"/>
      <c r="B85" s="164" t="n"/>
      <c r="C85" s="164" t="n"/>
      <c r="D85" s="164" t="n"/>
      <c r="E85" s="164" t="n"/>
      <c r="F85" s="164" t="n"/>
      <c r="G85" s="164" t="n"/>
      <c r="H85" s="164" t="n"/>
      <c r="I85" s="164" t="n"/>
      <c r="J85" s="164" t="n"/>
      <c r="K85" s="164" t="n"/>
      <c r="L85" s="164" t="n"/>
      <c r="M85" s="164" t="n"/>
    </row>
    <row r="86">
      <c r="A86" s="164" t="n"/>
      <c r="B86" s="164" t="n"/>
      <c r="C86" s="164" t="n"/>
      <c r="D86" s="164" t="n"/>
      <c r="E86" s="164" t="n"/>
      <c r="F86" s="164" t="n"/>
      <c r="G86" s="164" t="n"/>
      <c r="H86" s="164" t="n"/>
      <c r="I86" s="164" t="n"/>
      <c r="J86" s="164" t="n"/>
      <c r="K86" s="164" t="n"/>
      <c r="L86" s="164" t="n"/>
      <c r="M86" s="164" t="n"/>
    </row>
    <row r="87">
      <c r="A87" s="164" t="n"/>
      <c r="B87" s="164" t="n"/>
      <c r="C87" s="164" t="n"/>
      <c r="D87" s="164" t="n"/>
      <c r="E87" s="164" t="n"/>
      <c r="F87" s="164" t="n"/>
      <c r="G87" s="164" t="n"/>
      <c r="H87" s="164" t="n"/>
      <c r="I87" s="164" t="n"/>
      <c r="J87" s="164" t="n"/>
      <c r="K87" s="164" t="n"/>
      <c r="L87" s="164" t="n"/>
      <c r="M87" s="164" t="n"/>
    </row>
    <row r="88">
      <c r="A88" s="164" t="n"/>
      <c r="B88" s="164" t="n"/>
      <c r="C88" s="164" t="n"/>
      <c r="D88" s="164" t="n"/>
      <c r="E88" s="164" t="n"/>
      <c r="F88" s="164" t="n"/>
      <c r="G88" s="164" t="n"/>
      <c r="H88" s="164" t="n"/>
      <c r="I88" s="164" t="n"/>
      <c r="J88" s="164" t="n"/>
      <c r="K88" s="164" t="n"/>
      <c r="L88" s="164" t="n"/>
      <c r="M88" s="164" t="n"/>
    </row>
    <row r="89">
      <c r="A89" s="164" t="n"/>
      <c r="B89" s="164" t="n"/>
      <c r="C89" s="164" t="n"/>
      <c r="D89" s="164" t="n"/>
      <c r="E89" s="164" t="n"/>
      <c r="F89" s="164" t="n"/>
      <c r="G89" s="164" t="n"/>
      <c r="H89" s="164" t="n"/>
      <c r="I89" s="164" t="n"/>
      <c r="J89" s="164" t="n"/>
      <c r="K89" s="164" t="n"/>
      <c r="L89" s="164" t="n"/>
      <c r="M89" s="164" t="n"/>
    </row>
    <row r="90">
      <c r="A90" s="164" t="n"/>
      <c r="B90" s="164" t="n"/>
      <c r="C90" s="164" t="n"/>
      <c r="D90" s="164" t="n"/>
      <c r="E90" s="164" t="n"/>
      <c r="F90" s="164" t="n"/>
      <c r="G90" s="164" t="n"/>
      <c r="H90" s="164" t="n"/>
      <c r="I90" s="164" t="n"/>
      <c r="J90" s="164" t="n"/>
      <c r="K90" s="164" t="n"/>
      <c r="L90" s="164" t="n"/>
      <c r="M90" s="164" t="n"/>
    </row>
    <row r="91">
      <c r="A91" s="164" t="n"/>
      <c r="B91" s="164" t="n"/>
      <c r="C91" s="164" t="n"/>
      <c r="D91" s="164" t="n"/>
      <c r="E91" s="164" t="n"/>
      <c r="F91" s="164" t="n"/>
      <c r="G91" s="164" t="n"/>
      <c r="H91" s="164" t="n"/>
      <c r="I91" s="164" t="n"/>
      <c r="J91" s="164" t="n"/>
      <c r="K91" s="164" t="n"/>
      <c r="L91" s="164" t="n"/>
      <c r="M91" s="164" t="n"/>
    </row>
    <row r="92">
      <c r="A92" s="164" t="n"/>
      <c r="B92" s="164" t="n"/>
      <c r="C92" s="164" t="n"/>
      <c r="D92" s="164" t="n"/>
      <c r="E92" s="164" t="n"/>
      <c r="F92" s="164" t="n"/>
      <c r="G92" s="164" t="n"/>
      <c r="H92" s="164" t="n"/>
      <c r="I92" s="164" t="n"/>
      <c r="J92" s="164" t="n"/>
      <c r="K92" s="164" t="n"/>
      <c r="L92" s="164" t="n"/>
      <c r="M92" s="164" t="n"/>
    </row>
    <row r="93">
      <c r="A93" s="164" t="n"/>
      <c r="B93" s="164" t="n"/>
      <c r="C93" s="164" t="n"/>
      <c r="D93" s="164" t="n"/>
      <c r="E93" s="164" t="n"/>
      <c r="F93" s="164" t="n"/>
      <c r="G93" s="164" t="n"/>
      <c r="H93" s="164" t="n"/>
      <c r="I93" s="164" t="n"/>
      <c r="J93" s="164" t="n"/>
      <c r="K93" s="164" t="n"/>
      <c r="L93" s="164" t="n"/>
      <c r="M93" s="164" t="n"/>
    </row>
    <row r="94">
      <c r="A94" s="164" t="n"/>
      <c r="B94" s="164" t="n"/>
      <c r="C94" s="164" t="n"/>
      <c r="D94" s="164" t="n"/>
      <c r="E94" s="164" t="n"/>
      <c r="F94" s="164" t="n"/>
      <c r="G94" s="164" t="n"/>
      <c r="H94" s="164" t="n"/>
      <c r="I94" s="164" t="n"/>
      <c r="J94" s="164" t="n"/>
      <c r="K94" s="164" t="n"/>
      <c r="L94" s="164" t="n"/>
      <c r="M94" s="164" t="n"/>
    </row>
    <row r="95">
      <c r="A95" s="164" t="n"/>
      <c r="B95" s="164" t="n"/>
      <c r="C95" s="164" t="n"/>
      <c r="D95" s="164" t="n"/>
      <c r="E95" s="164" t="n"/>
      <c r="F95" s="164" t="n"/>
      <c r="G95" s="164" t="n"/>
      <c r="H95" s="164" t="n"/>
      <c r="I95" s="164" t="n"/>
      <c r="J95" s="164" t="n"/>
      <c r="K95" s="164" t="n"/>
      <c r="L95" s="164" t="n"/>
      <c r="M95" s="164" t="n"/>
    </row>
    <row r="96">
      <c r="A96" s="164" t="n"/>
      <c r="B96" s="164" t="n"/>
      <c r="C96" s="164" t="n"/>
      <c r="D96" s="164" t="n"/>
      <c r="E96" s="164" t="n"/>
      <c r="F96" s="164" t="n"/>
      <c r="G96" s="164" t="n"/>
      <c r="H96" s="164" t="n"/>
      <c r="I96" s="164" t="n"/>
      <c r="J96" s="164" t="n"/>
      <c r="K96" s="164" t="n"/>
      <c r="L96" s="164" t="n"/>
      <c r="M96" s="164" t="n"/>
    </row>
    <row r="97">
      <c r="A97" s="164" t="n"/>
      <c r="B97" s="164" t="n"/>
      <c r="C97" s="164" t="n"/>
      <c r="D97" s="164" t="n"/>
      <c r="E97" s="164" t="n"/>
      <c r="F97" s="164" t="n"/>
      <c r="G97" s="164" t="n"/>
      <c r="H97" s="164" t="n"/>
      <c r="I97" s="164" t="n"/>
      <c r="J97" s="164" t="n"/>
      <c r="K97" s="164" t="n"/>
      <c r="L97" s="164" t="n"/>
      <c r="M97" s="164" t="n"/>
    </row>
    <row r="98">
      <c r="A98" s="164" t="n"/>
      <c r="B98" s="164" t="n"/>
      <c r="C98" s="164" t="n"/>
      <c r="D98" s="164" t="n"/>
      <c r="E98" s="164" t="n"/>
      <c r="F98" s="164" t="n"/>
      <c r="G98" s="164" t="n"/>
      <c r="H98" s="164" t="n"/>
      <c r="I98" s="164" t="n"/>
      <c r="J98" s="164" t="n"/>
      <c r="K98" s="164" t="n"/>
      <c r="L98" s="164" t="n"/>
      <c r="M98" s="164" t="n"/>
    </row>
    <row r="99">
      <c r="A99" s="164" t="n"/>
      <c r="B99" s="164" t="n"/>
      <c r="C99" s="164" t="n"/>
      <c r="D99" s="164" t="n"/>
      <c r="E99" s="164" t="n"/>
      <c r="F99" s="164" t="n"/>
      <c r="G99" s="164" t="n"/>
      <c r="H99" s="164" t="n"/>
      <c r="I99" s="164" t="n"/>
      <c r="J99" s="164" t="n"/>
      <c r="K99" s="164" t="n"/>
      <c r="L99" s="164" t="n"/>
      <c r="M99" s="164" t="n"/>
    </row>
    <row r="100">
      <c r="A100" s="164" t="n"/>
      <c r="B100" s="164" t="n"/>
      <c r="C100" s="164" t="n"/>
      <c r="D100" s="164" t="n"/>
      <c r="E100" s="164" t="n"/>
      <c r="F100" s="164" t="n"/>
      <c r="G100" s="164" t="n"/>
      <c r="H100" s="164" t="n"/>
      <c r="I100" s="164" t="n"/>
      <c r="J100" s="164" t="n"/>
      <c r="K100" s="164" t="n"/>
      <c r="L100" s="164" t="n"/>
      <c r="M100" s="164" t="n"/>
    </row>
    <row r="101">
      <c r="A101" s="164" t="n"/>
      <c r="B101" s="164" t="n"/>
      <c r="C101" s="164" t="n"/>
      <c r="D101" s="164" t="n"/>
      <c r="E101" s="164" t="n"/>
      <c r="F101" s="164" t="n"/>
      <c r="G101" s="164" t="n"/>
      <c r="H101" s="164" t="n"/>
      <c r="I101" s="164" t="n"/>
      <c r="J101" s="164" t="n"/>
      <c r="K101" s="164" t="n"/>
      <c r="L101" s="164" t="n"/>
      <c r="M101" s="164" t="n"/>
    </row>
    <row r="102">
      <c r="A102" s="164" t="n"/>
      <c r="B102" s="164" t="n"/>
      <c r="C102" s="164" t="n"/>
      <c r="D102" s="164" t="n"/>
      <c r="E102" s="164" t="n"/>
      <c r="F102" s="164" t="n"/>
      <c r="G102" s="164" t="n"/>
      <c r="H102" s="164" t="n"/>
      <c r="I102" s="164" t="n"/>
      <c r="J102" s="164" t="n"/>
      <c r="K102" s="164" t="n"/>
      <c r="L102" s="164" t="n"/>
      <c r="M102" s="164" t="n"/>
    </row>
    <row r="103">
      <c r="A103" s="164" t="n"/>
      <c r="B103" s="164" t="n"/>
      <c r="C103" s="164" t="n"/>
      <c r="D103" s="164" t="n"/>
      <c r="E103" s="164" t="n"/>
      <c r="F103" s="164" t="n"/>
      <c r="G103" s="164" t="n"/>
      <c r="H103" s="164" t="n"/>
      <c r="I103" s="164" t="n"/>
      <c r="J103" s="164" t="n"/>
      <c r="K103" s="164" t="n"/>
      <c r="L103" s="164" t="n"/>
      <c r="M103" s="164" t="n"/>
    </row>
    <row r="104">
      <c r="A104" s="164" t="n"/>
      <c r="B104" s="164" t="n"/>
      <c r="C104" s="164" t="n"/>
      <c r="D104" s="164" t="n"/>
      <c r="E104" s="164" t="n"/>
      <c r="F104" s="164" t="n"/>
      <c r="G104" s="164" t="n"/>
      <c r="H104" s="164" t="n"/>
      <c r="I104" s="164" t="n"/>
      <c r="J104" s="164" t="n"/>
      <c r="K104" s="164" t="n"/>
      <c r="L104" s="164" t="n"/>
      <c r="M104" s="164" t="n"/>
    </row>
    <row r="105">
      <c r="A105" s="164" t="n"/>
      <c r="B105" s="164" t="n"/>
      <c r="C105" s="164" t="n"/>
      <c r="D105" s="164" t="n"/>
      <c r="E105" s="164" t="n"/>
      <c r="F105" s="164" t="n"/>
      <c r="G105" s="164" t="n"/>
      <c r="H105" s="164" t="n"/>
      <c r="I105" s="164" t="n"/>
      <c r="J105" s="164" t="n"/>
      <c r="K105" s="164" t="n"/>
      <c r="L105" s="164" t="n"/>
      <c r="M105" s="164" t="n"/>
    </row>
    <row r="106">
      <c r="A106" s="164" t="n"/>
      <c r="B106" s="164" t="n"/>
      <c r="C106" s="164" t="n"/>
      <c r="D106" s="164" t="n"/>
      <c r="E106" s="164" t="n"/>
      <c r="F106" s="164" t="n"/>
      <c r="G106" s="164" t="n"/>
      <c r="H106" s="164" t="n"/>
      <c r="I106" s="164" t="n"/>
      <c r="J106" s="164" t="n"/>
      <c r="K106" s="164" t="n"/>
      <c r="L106" s="164" t="n"/>
      <c r="M106" s="164" t="n"/>
    </row>
    <row r="107">
      <c r="A107" s="164" t="n"/>
      <c r="B107" s="164" t="n"/>
      <c r="C107" s="164" t="n"/>
      <c r="D107" s="164" t="n"/>
      <c r="E107" s="164" t="n"/>
      <c r="F107" s="164" t="n"/>
      <c r="G107" s="164" t="n"/>
      <c r="H107" s="164" t="n"/>
      <c r="I107" s="164" t="n"/>
      <c r="J107" s="164" t="n"/>
      <c r="K107" s="164" t="n"/>
      <c r="L107" s="164" t="n"/>
      <c r="M107" s="164" t="n"/>
    </row>
    <row r="108">
      <c r="A108" s="164" t="n"/>
      <c r="B108" s="164" t="n"/>
      <c r="C108" s="164" t="n"/>
      <c r="D108" s="164" t="n"/>
      <c r="E108" s="164" t="n"/>
      <c r="F108" s="164" t="n"/>
      <c r="G108" s="164" t="n"/>
      <c r="H108" s="164" t="n"/>
      <c r="I108" s="164" t="n"/>
      <c r="J108" s="164" t="n"/>
      <c r="K108" s="164" t="n"/>
      <c r="L108" s="164" t="n"/>
      <c r="M108" s="164" t="n"/>
    </row>
    <row r="109">
      <c r="A109" s="164" t="n"/>
      <c r="B109" s="164" t="n"/>
      <c r="C109" s="164" t="n"/>
      <c r="D109" s="164" t="n"/>
      <c r="E109" s="164" t="n"/>
      <c r="F109" s="164" t="n"/>
      <c r="G109" s="164" t="n"/>
      <c r="H109" s="164" t="n"/>
      <c r="I109" s="164" t="n"/>
      <c r="J109" s="164" t="n"/>
      <c r="K109" s="164" t="n"/>
      <c r="L109" s="164" t="n"/>
      <c r="M109" s="164" t="n"/>
    </row>
    <row r="110">
      <c r="A110" s="164" t="n"/>
      <c r="B110" s="164" t="n"/>
      <c r="C110" s="164" t="n"/>
      <c r="D110" s="164" t="n"/>
      <c r="E110" s="164" t="n"/>
      <c r="F110" s="164" t="n"/>
      <c r="G110" s="164" t="n"/>
      <c r="H110" s="164" t="n"/>
      <c r="I110" s="164" t="n"/>
      <c r="J110" s="164" t="n"/>
      <c r="K110" s="164" t="n"/>
      <c r="L110" s="164" t="n"/>
      <c r="M110" s="164" t="n"/>
    </row>
    <row r="111">
      <c r="A111" s="164" t="n"/>
      <c r="B111" s="164" t="n"/>
      <c r="C111" s="164" t="n"/>
      <c r="D111" s="164" t="n"/>
      <c r="E111" s="164" t="n"/>
      <c r="F111" s="164" t="n"/>
      <c r="G111" s="164" t="n"/>
      <c r="H111" s="164" t="n"/>
      <c r="I111" s="164" t="n"/>
      <c r="J111" s="164" t="n"/>
      <c r="K111" s="164" t="n"/>
      <c r="L111" s="164" t="n"/>
      <c r="M111" s="164" t="n"/>
    </row>
    <row r="112">
      <c r="A112" s="164" t="n"/>
      <c r="B112" s="164" t="n"/>
      <c r="C112" s="164" t="n"/>
      <c r="D112" s="164" t="n"/>
      <c r="E112" s="164" t="n"/>
      <c r="F112" s="164" t="n"/>
      <c r="G112" s="164" t="n"/>
      <c r="H112" s="164" t="n"/>
      <c r="I112" s="164" t="n"/>
      <c r="J112" s="164" t="n"/>
      <c r="K112" s="164" t="n"/>
      <c r="L112" s="164" t="n"/>
      <c r="M112" s="164" t="n"/>
    </row>
    <row r="113">
      <c r="A113" s="164" t="n"/>
      <c r="B113" s="164" t="n"/>
      <c r="C113" s="164" t="n"/>
      <c r="D113" s="164" t="n"/>
      <c r="E113" s="164" t="n"/>
      <c r="F113" s="164" t="n"/>
      <c r="G113" s="164" t="n"/>
      <c r="H113" s="164" t="n"/>
      <c r="I113" s="164" t="n"/>
      <c r="J113" s="164" t="n"/>
      <c r="K113" s="164" t="n"/>
      <c r="L113" s="164" t="n"/>
      <c r="M113" s="164" t="n"/>
    </row>
    <row r="114">
      <c r="A114" s="164" t="n"/>
      <c r="B114" s="164" t="n"/>
      <c r="C114" s="164" t="n"/>
      <c r="D114" s="164" t="n"/>
      <c r="E114" s="164" t="n"/>
      <c r="F114" s="164" t="n"/>
      <c r="G114" s="164" t="n"/>
      <c r="H114" s="164" t="n"/>
      <c r="I114" s="164" t="n"/>
      <c r="J114" s="164" t="n"/>
      <c r="K114" s="164" t="n"/>
      <c r="L114" s="164" t="n"/>
      <c r="M114" s="164" t="n"/>
    </row>
    <row r="115">
      <c r="A115" s="164" t="n"/>
      <c r="B115" s="164" t="n"/>
      <c r="C115" s="164" t="n"/>
      <c r="D115" s="164" t="n"/>
      <c r="E115" s="164" t="n"/>
      <c r="F115" s="164" t="n"/>
      <c r="G115" s="164" t="n"/>
      <c r="H115" s="164" t="n"/>
      <c r="I115" s="164" t="n"/>
      <c r="J115" s="164" t="n"/>
      <c r="K115" s="164" t="n"/>
      <c r="L115" s="164" t="n"/>
      <c r="M115" s="164" t="n"/>
    </row>
    <row r="116">
      <c r="A116" s="164" t="n"/>
      <c r="B116" s="164" t="n"/>
      <c r="C116" s="164" t="n"/>
      <c r="D116" s="164" t="n"/>
      <c r="E116" s="164" t="n"/>
      <c r="F116" s="164" t="n"/>
      <c r="G116" s="164" t="n"/>
      <c r="H116" s="164" t="n"/>
      <c r="I116" s="164" t="n"/>
      <c r="J116" s="164" t="n"/>
      <c r="K116" s="164" t="n"/>
      <c r="L116" s="164" t="n"/>
      <c r="M116" s="164" t="n"/>
    </row>
    <row r="117">
      <c r="A117" s="164" t="n"/>
      <c r="B117" s="164" t="n"/>
      <c r="C117" s="164" t="n"/>
      <c r="D117" s="164" t="n"/>
      <c r="E117" s="164" t="n"/>
      <c r="F117" s="164" t="n"/>
      <c r="G117" s="164" t="n"/>
      <c r="H117" s="164" t="n"/>
      <c r="I117" s="164" t="n"/>
      <c r="J117" s="164" t="n"/>
      <c r="K117" s="164" t="n"/>
      <c r="L117" s="164" t="n"/>
      <c r="M117" s="164" t="n"/>
    </row>
    <row r="118">
      <c r="A118" s="164" t="n"/>
      <c r="B118" s="164" t="n"/>
      <c r="C118" s="164" t="n"/>
      <c r="D118" s="164" t="n"/>
      <c r="E118" s="164" t="n"/>
      <c r="F118" s="164" t="n"/>
      <c r="G118" s="164" t="n"/>
      <c r="H118" s="164" t="n"/>
      <c r="I118" s="164" t="n"/>
      <c r="J118" s="164" t="n"/>
      <c r="K118" s="164" t="n"/>
      <c r="L118" s="164" t="n"/>
      <c r="M118" s="164" t="n"/>
    </row>
    <row r="119">
      <c r="A119" s="164" t="n"/>
      <c r="B119" s="164" t="n"/>
      <c r="C119" s="164" t="n"/>
      <c r="D119" s="164" t="n"/>
      <c r="E119" s="164" t="n"/>
      <c r="F119" s="164" t="n"/>
      <c r="G119" s="164" t="n"/>
      <c r="H119" s="164" t="n"/>
      <c r="I119" s="164" t="n"/>
      <c r="J119" s="164" t="n"/>
      <c r="K119" s="164" t="n"/>
      <c r="L119" s="164" t="n"/>
      <c r="M119" s="164" t="n"/>
    </row>
    <row r="120">
      <c r="A120" s="164" t="n"/>
      <c r="B120" s="164" t="n"/>
      <c r="C120" s="164" t="n"/>
      <c r="D120" s="164" t="n"/>
      <c r="E120" s="164" t="n"/>
      <c r="F120" s="164" t="n"/>
      <c r="G120" s="164" t="n"/>
      <c r="H120" s="164" t="n"/>
      <c r="I120" s="164" t="n"/>
      <c r="J120" s="164" t="n"/>
      <c r="K120" s="164" t="n"/>
      <c r="L120" s="164" t="n"/>
      <c r="M120" s="164" t="n"/>
    </row>
    <row r="121">
      <c r="A121" s="164" t="n"/>
      <c r="B121" s="164" t="n"/>
      <c r="C121" s="164" t="n"/>
      <c r="D121" s="164" t="n"/>
      <c r="E121" s="164" t="n"/>
      <c r="F121" s="164" t="n"/>
      <c r="G121" s="164" t="n"/>
      <c r="H121" s="164" t="n"/>
      <c r="I121" s="164" t="n"/>
      <c r="J121" s="164" t="n"/>
      <c r="K121" s="164" t="n"/>
      <c r="L121" s="164" t="n"/>
      <c r="M121" s="164" t="n"/>
    </row>
    <row r="122">
      <c r="A122" s="164" t="n"/>
      <c r="B122" s="164" t="n"/>
      <c r="C122" s="164" t="n"/>
      <c r="D122" s="164" t="n"/>
      <c r="E122" s="164" t="n"/>
      <c r="F122" s="164" t="n"/>
      <c r="G122" s="164" t="n"/>
      <c r="H122" s="164" t="n"/>
      <c r="I122" s="164" t="n"/>
      <c r="J122" s="164" t="n"/>
      <c r="K122" s="164" t="n"/>
      <c r="L122" s="164" t="n"/>
      <c r="M122" s="164" t="n"/>
    </row>
    <row r="123">
      <c r="A123" s="164" t="n"/>
      <c r="B123" s="164" t="n"/>
      <c r="C123" s="164" t="n"/>
      <c r="D123" s="164" t="n"/>
      <c r="E123" s="164" t="n"/>
      <c r="F123" s="164" t="n"/>
      <c r="G123" s="164" t="n"/>
      <c r="H123" s="164" t="n"/>
      <c r="I123" s="164" t="n"/>
      <c r="J123" s="164" t="n"/>
      <c r="K123" s="164" t="n"/>
      <c r="L123" s="164" t="n"/>
      <c r="M123" s="164" t="n"/>
    </row>
    <row r="124">
      <c r="A124" s="164" t="n"/>
      <c r="B124" s="164" t="n"/>
      <c r="C124" s="164" t="n"/>
      <c r="D124" s="164" t="n"/>
      <c r="E124" s="164" t="n"/>
      <c r="F124" s="164" t="n"/>
      <c r="G124" s="164" t="n"/>
      <c r="H124" s="164" t="n"/>
      <c r="I124" s="164" t="n"/>
      <c r="J124" s="164" t="n"/>
      <c r="K124" s="164" t="n"/>
      <c r="L124" s="164" t="n"/>
      <c r="M124" s="164" t="n"/>
    </row>
    <row r="125">
      <c r="A125" s="164" t="n"/>
      <c r="B125" s="164" t="n"/>
      <c r="C125" s="164" t="n"/>
      <c r="D125" s="164" t="n"/>
      <c r="E125" s="164" t="n"/>
      <c r="F125" s="164" t="n"/>
      <c r="G125" s="164" t="n"/>
      <c r="H125" s="164" t="n"/>
      <c r="I125" s="164" t="n"/>
      <c r="J125" s="164" t="n"/>
      <c r="K125" s="164" t="n"/>
      <c r="L125" s="164" t="n"/>
      <c r="M125" s="164" t="n"/>
    </row>
    <row r="126">
      <c r="A126" s="164" t="n"/>
      <c r="B126" s="164" t="n"/>
      <c r="C126" s="164" t="n"/>
      <c r="D126" s="164" t="n"/>
      <c r="E126" s="164" t="n"/>
      <c r="F126" s="164" t="n"/>
      <c r="G126" s="164" t="n"/>
      <c r="H126" s="164" t="n"/>
      <c r="I126" s="164" t="n"/>
      <c r="J126" s="164" t="n"/>
      <c r="K126" s="164" t="n"/>
      <c r="L126" s="164" t="n"/>
      <c r="M126" s="164" t="n"/>
    </row>
    <row r="127">
      <c r="A127" s="164" t="n"/>
      <c r="B127" s="164" t="n"/>
      <c r="C127" s="164" t="n"/>
      <c r="D127" s="164" t="n"/>
      <c r="E127" s="164" t="n"/>
      <c r="F127" s="164" t="n"/>
      <c r="G127" s="164" t="n"/>
      <c r="H127" s="164" t="n"/>
      <c r="I127" s="164" t="n"/>
      <c r="J127" s="164" t="n"/>
      <c r="K127" s="164" t="n"/>
      <c r="L127" s="164" t="n"/>
      <c r="M127" s="164" t="n"/>
    </row>
    <row r="128">
      <c r="A128" s="164" t="n"/>
      <c r="B128" s="164" t="n"/>
      <c r="C128" s="164" t="n"/>
      <c r="D128" s="164" t="n"/>
      <c r="E128" s="164" t="n"/>
      <c r="F128" s="164" t="n"/>
      <c r="G128" s="164" t="n"/>
      <c r="H128" s="164" t="n"/>
      <c r="I128" s="164" t="n"/>
      <c r="J128" s="164" t="n"/>
      <c r="K128" s="164" t="n"/>
      <c r="L128" s="164" t="n"/>
      <c r="M128" s="164" t="n"/>
    </row>
    <row r="129">
      <c r="A129" s="164" t="n"/>
      <c r="B129" s="164" t="n"/>
      <c r="C129" s="164" t="n"/>
      <c r="D129" s="164" t="n"/>
      <c r="E129" s="164" t="n"/>
      <c r="F129" s="164" t="n"/>
      <c r="G129" s="164" t="n"/>
      <c r="H129" s="164" t="n"/>
      <c r="I129" s="164" t="n"/>
      <c r="J129" s="164" t="n"/>
      <c r="K129" s="164" t="n"/>
      <c r="L129" s="164" t="n"/>
      <c r="M129" s="164" t="n"/>
    </row>
    <row r="130">
      <c r="A130" s="164" t="n"/>
      <c r="B130" s="164" t="n"/>
      <c r="C130" s="164" t="n"/>
      <c r="D130" s="164" t="n"/>
      <c r="E130" s="164" t="n"/>
      <c r="F130" s="164" t="n"/>
      <c r="G130" s="164" t="n"/>
      <c r="H130" s="164" t="n"/>
      <c r="I130" s="164" t="n"/>
      <c r="J130" s="164" t="n"/>
      <c r="K130" s="164" t="n"/>
      <c r="L130" s="164" t="n"/>
      <c r="M130" s="164" t="n"/>
    </row>
    <row r="131">
      <c r="A131" s="164" t="n"/>
      <c r="B131" s="164" t="n"/>
      <c r="C131" s="164" t="n"/>
      <c r="D131" s="164" t="n"/>
      <c r="E131" s="164" t="n"/>
      <c r="F131" s="164" t="n"/>
      <c r="G131" s="164" t="n"/>
      <c r="H131" s="164" t="n"/>
      <c r="I131" s="164" t="n"/>
      <c r="J131" s="164" t="n"/>
      <c r="K131" s="164" t="n"/>
      <c r="L131" s="164" t="n"/>
      <c r="M131" s="164" t="n"/>
    </row>
    <row r="132">
      <c r="A132" s="164" t="n"/>
      <c r="B132" s="164" t="n"/>
      <c r="C132" s="164" t="n"/>
      <c r="D132" s="164" t="n"/>
      <c r="E132" s="164" t="n"/>
      <c r="F132" s="164" t="n"/>
      <c r="G132" s="164" t="n"/>
      <c r="H132" s="164" t="n"/>
      <c r="I132" s="164" t="n"/>
      <c r="J132" s="164" t="n"/>
      <c r="K132" s="164" t="n"/>
      <c r="L132" s="164" t="n"/>
      <c r="M132" s="164" t="n"/>
    </row>
    <row r="133">
      <c r="A133" s="164" t="n"/>
      <c r="B133" s="164" t="n"/>
      <c r="C133" s="164" t="n"/>
      <c r="D133" s="164" t="n"/>
      <c r="E133" s="164" t="n"/>
      <c r="F133" s="164" t="n"/>
      <c r="G133" s="164" t="n"/>
      <c r="H133" s="164" t="n"/>
      <c r="I133" s="164" t="n"/>
      <c r="J133" s="164" t="n"/>
      <c r="K133" s="164" t="n"/>
      <c r="L133" s="164" t="n"/>
      <c r="M133" s="164" t="n"/>
    </row>
    <row r="134">
      <c r="A134" s="164" t="n"/>
      <c r="B134" s="164" t="n"/>
      <c r="C134" s="164" t="n"/>
      <c r="D134" s="164" t="n"/>
      <c r="E134" s="164" t="n"/>
      <c r="F134" s="164" t="n"/>
      <c r="G134" s="164" t="n"/>
      <c r="H134" s="164" t="n"/>
      <c r="I134" s="164" t="n"/>
      <c r="J134" s="164" t="n"/>
      <c r="K134" s="164" t="n"/>
      <c r="L134" s="164" t="n"/>
      <c r="M134" s="164" t="n"/>
    </row>
    <row r="135">
      <c r="A135" s="164" t="n"/>
      <c r="B135" s="164" t="n"/>
      <c r="C135" s="164" t="n"/>
      <c r="D135" s="164" t="n"/>
      <c r="E135" s="164" t="n"/>
      <c r="F135" s="164" t="n"/>
      <c r="G135" s="164" t="n"/>
      <c r="H135" s="164" t="n"/>
      <c r="I135" s="164" t="n"/>
      <c r="J135" s="164" t="n"/>
      <c r="K135" s="164" t="n"/>
      <c r="L135" s="164" t="n"/>
      <c r="M135" s="164" t="n"/>
    </row>
    <row r="136">
      <c r="A136" s="164" t="n"/>
      <c r="B136" s="164" t="n"/>
      <c r="C136" s="164" t="n"/>
      <c r="D136" s="164" t="n"/>
      <c r="E136" s="164" t="n"/>
      <c r="F136" s="164" t="n"/>
      <c r="G136" s="164" t="n"/>
      <c r="H136" s="164" t="n"/>
      <c r="I136" s="164" t="n"/>
      <c r="J136" s="164" t="n"/>
      <c r="K136" s="164" t="n"/>
      <c r="L136" s="164" t="n"/>
      <c r="M136" s="164" t="n"/>
    </row>
    <row r="137">
      <c r="A137" s="164" t="n"/>
      <c r="B137" s="164" t="n"/>
      <c r="C137" s="164" t="n"/>
      <c r="D137" s="164" t="n"/>
      <c r="E137" s="164" t="n"/>
      <c r="F137" s="164" t="n"/>
      <c r="G137" s="164" t="n"/>
      <c r="H137" s="164" t="n"/>
      <c r="I137" s="164" t="n"/>
      <c r="J137" s="164" t="n"/>
      <c r="K137" s="164" t="n"/>
      <c r="L137" s="164" t="n"/>
      <c r="M137" s="164" t="n"/>
    </row>
    <row r="138">
      <c r="A138" s="164" t="n"/>
      <c r="B138" s="164" t="n"/>
      <c r="C138" s="164" t="n"/>
      <c r="D138" s="164" t="n"/>
      <c r="E138" s="164" t="n"/>
      <c r="F138" s="164" t="n"/>
      <c r="G138" s="164" t="n"/>
      <c r="H138" s="164" t="n"/>
      <c r="I138" s="164" t="n"/>
      <c r="J138" s="164" t="n"/>
      <c r="K138" s="164" t="n"/>
      <c r="L138" s="164" t="n"/>
      <c r="M138" s="164" t="n"/>
    </row>
    <row r="139">
      <c r="A139" s="164" t="n"/>
      <c r="B139" s="164" t="n"/>
      <c r="C139" s="164" t="n"/>
      <c r="D139" s="164" t="n"/>
      <c r="E139" s="164" t="n"/>
      <c r="F139" s="164" t="n"/>
      <c r="G139" s="164" t="n"/>
      <c r="H139" s="164" t="n"/>
      <c r="I139" s="164" t="n"/>
      <c r="J139" s="164" t="n"/>
      <c r="K139" s="164" t="n"/>
      <c r="L139" s="164" t="n"/>
      <c r="M139" s="164" t="n"/>
    </row>
    <row r="140">
      <c r="A140" s="164" t="n"/>
      <c r="B140" s="164" t="n"/>
      <c r="C140" s="164" t="n"/>
      <c r="D140" s="164" t="n"/>
      <c r="E140" s="164" t="n"/>
      <c r="F140" s="164" t="n"/>
      <c r="G140" s="164" t="n"/>
      <c r="H140" s="164" t="n"/>
      <c r="I140" s="164" t="n"/>
      <c r="J140" s="164" t="n"/>
      <c r="K140" s="164" t="n"/>
      <c r="L140" s="164" t="n"/>
      <c r="M140" s="164" t="n"/>
    </row>
    <row r="141">
      <c r="A141" s="164" t="n"/>
      <c r="B141" s="164" t="n"/>
      <c r="C141" s="164" t="n"/>
      <c r="D141" s="164" t="n"/>
      <c r="E141" s="164" t="n"/>
      <c r="F141" s="164" t="n"/>
      <c r="G141" s="164" t="n"/>
      <c r="H141" s="164" t="n"/>
      <c r="I141" s="164" t="n"/>
      <c r="J141" s="164" t="n"/>
      <c r="K141" s="164" t="n"/>
      <c r="L141" s="164" t="n"/>
      <c r="M141" s="164" t="n"/>
    </row>
    <row r="142">
      <c r="A142" s="164" t="n"/>
      <c r="B142" s="164" t="n"/>
      <c r="C142" s="164" t="n"/>
      <c r="D142" s="164" t="n"/>
      <c r="E142" s="164" t="n"/>
      <c r="F142" s="164" t="n"/>
      <c r="G142" s="164" t="n"/>
      <c r="H142" s="164" t="n"/>
      <c r="I142" s="164" t="n"/>
      <c r="J142" s="164" t="n"/>
      <c r="K142" s="164" t="n"/>
      <c r="L142" s="164" t="n"/>
      <c r="M142" s="164" t="n"/>
    </row>
    <row r="143">
      <c r="A143" s="164" t="n"/>
      <c r="B143" s="164" t="n"/>
      <c r="C143" s="164" t="n"/>
      <c r="D143" s="164" t="n"/>
      <c r="E143" s="164" t="n"/>
      <c r="F143" s="164" t="n"/>
      <c r="G143" s="164" t="n"/>
      <c r="H143" s="164" t="n"/>
      <c r="I143" s="164" t="n"/>
      <c r="J143" s="164" t="n"/>
      <c r="K143" s="164" t="n"/>
      <c r="L143" s="164" t="n"/>
      <c r="M143" s="164" t="n"/>
    </row>
    <row r="144">
      <c r="A144" s="164" t="n"/>
      <c r="B144" s="164" t="n"/>
      <c r="C144" s="164" t="n"/>
      <c r="D144" s="164" t="n"/>
      <c r="E144" s="164" t="n"/>
      <c r="F144" s="164" t="n"/>
      <c r="G144" s="164" t="n"/>
      <c r="H144" s="164" t="n"/>
      <c r="I144" s="164" t="n"/>
      <c r="J144" s="164" t="n"/>
      <c r="K144" s="164" t="n"/>
      <c r="L144" s="164" t="n"/>
      <c r="M144" s="164" t="n"/>
    </row>
    <row r="145">
      <c r="A145" s="164" t="n"/>
      <c r="B145" s="164" t="n"/>
      <c r="C145" s="164" t="n"/>
      <c r="D145" s="164" t="n"/>
      <c r="E145" s="164" t="n"/>
      <c r="F145" s="164" t="n"/>
      <c r="G145" s="164" t="n"/>
      <c r="H145" s="164" t="n"/>
      <c r="I145" s="164" t="n"/>
      <c r="J145" s="164" t="n"/>
      <c r="K145" s="164" t="n"/>
      <c r="L145" s="164" t="n"/>
      <c r="M145" s="164" t="n"/>
    </row>
    <row r="146">
      <c r="A146" s="164" t="n"/>
      <c r="B146" s="164" t="n"/>
      <c r="C146" s="164" t="n"/>
      <c r="D146" s="164" t="n"/>
      <c r="E146" s="164" t="n"/>
      <c r="F146" s="164" t="n"/>
      <c r="G146" s="164" t="n"/>
      <c r="H146" s="164" t="n"/>
      <c r="I146" s="164" t="n"/>
      <c r="J146" s="164" t="n"/>
      <c r="K146" s="164" t="n"/>
      <c r="L146" s="164" t="n"/>
      <c r="M146" s="164" t="n"/>
    </row>
    <row r="147">
      <c r="A147" s="164" t="n"/>
      <c r="B147" s="164" t="n"/>
      <c r="C147" s="164" t="n"/>
      <c r="D147" s="164" t="n"/>
      <c r="E147" s="164" t="n"/>
      <c r="F147" s="164" t="n"/>
      <c r="G147" s="164" t="n"/>
      <c r="H147" s="164" t="n"/>
      <c r="I147" s="164" t="n"/>
      <c r="J147" s="164" t="n"/>
      <c r="K147" s="164" t="n"/>
      <c r="L147" s="164" t="n"/>
      <c r="M147" s="164" t="n"/>
    </row>
    <row r="148">
      <c r="A148" s="164" t="n"/>
      <c r="B148" s="164" t="n"/>
      <c r="C148" s="164" t="n"/>
      <c r="D148" s="164" t="n"/>
      <c r="E148" s="164" t="n"/>
      <c r="F148" s="164" t="n"/>
      <c r="G148" s="164" t="n"/>
      <c r="H148" s="164" t="n"/>
      <c r="I148" s="164" t="n"/>
      <c r="J148" s="164" t="n"/>
      <c r="K148" s="164" t="n"/>
      <c r="L148" s="164" t="n"/>
      <c r="M148" s="164" t="n"/>
    </row>
    <row r="149">
      <c r="A149" s="164" t="n"/>
      <c r="B149" s="164" t="n"/>
      <c r="C149" s="164" t="n"/>
      <c r="D149" s="164" t="n"/>
      <c r="E149" s="164" t="n"/>
      <c r="F149" s="164" t="n"/>
      <c r="G149" s="164" t="n"/>
      <c r="H149" s="164" t="n"/>
      <c r="I149" s="164" t="n"/>
      <c r="J149" s="164" t="n"/>
      <c r="K149" s="164" t="n"/>
      <c r="L149" s="164" t="n"/>
      <c r="M149" s="164" t="n"/>
    </row>
    <row r="150">
      <c r="A150" s="164" t="n"/>
      <c r="B150" s="164" t="n"/>
      <c r="C150" s="164" t="n"/>
      <c r="D150" s="164" t="n"/>
      <c r="E150" s="164" t="n"/>
      <c r="F150" s="164" t="n"/>
      <c r="G150" s="164" t="n"/>
      <c r="H150" s="164" t="n"/>
      <c r="I150" s="164" t="n"/>
      <c r="J150" s="164" t="n"/>
      <c r="K150" s="164" t="n"/>
      <c r="L150" s="164" t="n"/>
      <c r="M150" s="164" t="n"/>
    </row>
    <row r="151">
      <c r="A151" s="164" t="n"/>
      <c r="B151" s="164" t="n"/>
      <c r="C151" s="164" t="n"/>
      <c r="D151" s="164" t="n"/>
      <c r="E151" s="164" t="n"/>
      <c r="F151" s="164" t="n"/>
      <c r="G151" s="164" t="n"/>
      <c r="H151" s="164" t="n"/>
      <c r="I151" s="164" t="n"/>
      <c r="J151" s="164" t="n"/>
      <c r="K151" s="164" t="n"/>
      <c r="L151" s="164" t="n"/>
      <c r="M151" s="164" t="n"/>
    </row>
    <row r="152">
      <c r="A152" s="164" t="n"/>
      <c r="B152" s="164" t="n"/>
      <c r="C152" s="164" t="n"/>
      <c r="D152" s="164" t="n"/>
      <c r="E152" s="164" t="n"/>
      <c r="F152" s="164" t="n"/>
      <c r="G152" s="164" t="n"/>
      <c r="H152" s="164" t="n"/>
      <c r="I152" s="164" t="n"/>
      <c r="J152" s="164" t="n"/>
      <c r="K152" s="164" t="n"/>
      <c r="L152" s="164" t="n"/>
      <c r="M152" s="164" t="n"/>
    </row>
    <row r="153">
      <c r="A153" s="164" t="n"/>
      <c r="B153" s="164" t="n"/>
      <c r="C153" s="164" t="n"/>
      <c r="D153" s="164" t="n"/>
      <c r="E153" s="164" t="n"/>
      <c r="F153" s="164" t="n"/>
      <c r="G153" s="164" t="n"/>
      <c r="H153" s="164" t="n"/>
      <c r="I153" s="164" t="n"/>
      <c r="J153" s="164" t="n"/>
      <c r="K153" s="164" t="n"/>
      <c r="L153" s="164" t="n"/>
      <c r="M153" s="164" t="n"/>
    </row>
    <row r="154">
      <c r="A154" s="164" t="n"/>
      <c r="B154" s="164" t="n"/>
      <c r="C154" s="164" t="n"/>
      <c r="D154" s="164" t="n"/>
      <c r="E154" s="164" t="n"/>
      <c r="F154" s="164" t="n"/>
      <c r="G154" s="164" t="n"/>
      <c r="H154" s="164" t="n"/>
      <c r="I154" s="164" t="n"/>
      <c r="J154" s="164" t="n"/>
      <c r="K154" s="164" t="n"/>
      <c r="L154" s="164" t="n"/>
      <c r="M154" s="164" t="n"/>
    </row>
    <row r="155">
      <c r="A155" s="164" t="n"/>
      <c r="B155" s="164" t="n"/>
      <c r="C155" s="164" t="n"/>
      <c r="D155" s="164" t="n"/>
      <c r="E155" s="164" t="n"/>
      <c r="F155" s="164" t="n"/>
      <c r="G155" s="164" t="n"/>
      <c r="H155" s="164" t="n"/>
      <c r="I155" s="164" t="n"/>
      <c r="J155" s="164" t="n"/>
      <c r="K155" s="164" t="n"/>
      <c r="L155" s="164" t="n"/>
      <c r="M155" s="164" t="n"/>
    </row>
    <row r="156">
      <c r="A156" s="164" t="n"/>
      <c r="B156" s="164" t="n"/>
      <c r="C156" s="164" t="n"/>
      <c r="D156" s="164" t="n"/>
      <c r="E156" s="164" t="n"/>
      <c r="F156" s="164" t="n"/>
      <c r="G156" s="164" t="n"/>
      <c r="H156" s="164" t="n"/>
      <c r="I156" s="164" t="n"/>
      <c r="J156" s="164" t="n"/>
      <c r="K156" s="164" t="n"/>
      <c r="L156" s="164" t="n"/>
      <c r="M156" s="164" t="n"/>
    </row>
    <row r="157">
      <c r="A157" s="164" t="n"/>
      <c r="B157" s="164" t="n"/>
      <c r="C157" s="164" t="n"/>
      <c r="D157" s="164" t="n"/>
      <c r="E157" s="164" t="n"/>
      <c r="F157" s="164" t="n"/>
      <c r="G157" s="164" t="n"/>
      <c r="H157" s="164" t="n"/>
      <c r="I157" s="164" t="n"/>
      <c r="J157" s="164" t="n"/>
      <c r="K157" s="164" t="n"/>
      <c r="L157" s="164" t="n"/>
      <c r="M157" s="164" t="n"/>
    </row>
    <row r="158">
      <c r="A158" s="164" t="n"/>
      <c r="B158" s="164" t="n"/>
      <c r="C158" s="164" t="n"/>
      <c r="D158" s="164" t="n"/>
      <c r="E158" s="164" t="n"/>
      <c r="F158" s="164" t="n"/>
      <c r="G158" s="164" t="n"/>
      <c r="H158" s="164" t="n"/>
      <c r="I158" s="164" t="n"/>
      <c r="J158" s="164" t="n"/>
      <c r="K158" s="164" t="n"/>
      <c r="L158" s="164" t="n"/>
      <c r="M158" s="164" t="n"/>
    </row>
    <row r="159">
      <c r="A159" s="164" t="n"/>
      <c r="B159" s="164" t="n"/>
      <c r="C159" s="164" t="n"/>
      <c r="D159" s="164" t="n"/>
      <c r="E159" s="164" t="n"/>
      <c r="F159" s="164" t="n"/>
      <c r="G159" s="164" t="n"/>
      <c r="H159" s="164" t="n"/>
      <c r="I159" s="164" t="n"/>
      <c r="J159" s="164" t="n"/>
      <c r="K159" s="164" t="n"/>
      <c r="L159" s="164" t="n"/>
      <c r="M159" s="164" t="n"/>
    </row>
    <row r="160">
      <c r="A160" s="164" t="n"/>
      <c r="B160" s="164" t="n"/>
      <c r="C160" s="164" t="n"/>
      <c r="D160" s="164" t="n"/>
      <c r="E160" s="164" t="n"/>
      <c r="F160" s="164" t="n"/>
      <c r="G160" s="164" t="n"/>
      <c r="H160" s="164" t="n"/>
      <c r="I160" s="164" t="n"/>
      <c r="J160" s="164" t="n"/>
      <c r="K160" s="164" t="n"/>
      <c r="L160" s="164" t="n"/>
      <c r="M160" s="164" t="n"/>
    </row>
    <row r="161">
      <c r="A161" s="164" t="n"/>
      <c r="B161" s="164" t="n"/>
      <c r="C161" s="164" t="n"/>
      <c r="D161" s="164" t="n"/>
      <c r="E161" s="164" t="n"/>
      <c r="F161" s="164" t="n"/>
      <c r="G161" s="164" t="n"/>
      <c r="H161" s="164" t="n"/>
      <c r="I161" s="164" t="n"/>
      <c r="J161" s="164" t="n"/>
      <c r="K161" s="164" t="n"/>
      <c r="L161" s="164" t="n"/>
      <c r="M161" s="164" t="n"/>
    </row>
    <row r="162">
      <c r="A162" s="164" t="n"/>
      <c r="B162" s="164" t="n"/>
      <c r="C162" s="164" t="n"/>
      <c r="D162" s="164" t="n"/>
      <c r="E162" s="164" t="n"/>
      <c r="F162" s="164" t="n"/>
      <c r="G162" s="164" t="n"/>
      <c r="H162" s="164" t="n"/>
      <c r="I162" s="164" t="n"/>
      <c r="J162" s="164" t="n"/>
      <c r="K162" s="164" t="n"/>
      <c r="L162" s="164" t="n"/>
      <c r="M162" s="164" t="n"/>
    </row>
    <row r="163">
      <c r="A163" s="164" t="n"/>
      <c r="B163" s="164" t="n"/>
      <c r="C163" s="164" t="n"/>
      <c r="D163" s="164" t="n"/>
      <c r="E163" s="164" t="n"/>
      <c r="F163" s="164" t="n"/>
      <c r="G163" s="164" t="n"/>
      <c r="H163" s="164" t="n"/>
      <c r="I163" s="164" t="n"/>
      <c r="J163" s="164" t="n"/>
      <c r="K163" s="164" t="n"/>
      <c r="L163" s="164" t="n"/>
      <c r="M163" s="164" t="n"/>
    </row>
    <row r="164">
      <c r="A164" s="164" t="n"/>
      <c r="B164" s="164" t="n"/>
      <c r="C164" s="164" t="n"/>
      <c r="D164" s="164" t="n"/>
      <c r="E164" s="164" t="n"/>
      <c r="F164" s="164" t="n"/>
      <c r="G164" s="164" t="n"/>
      <c r="H164" s="164" t="n"/>
      <c r="I164" s="164" t="n"/>
      <c r="J164" s="164" t="n"/>
      <c r="K164" s="164" t="n"/>
      <c r="L164" s="164" t="n"/>
      <c r="M164" s="164" t="n"/>
    </row>
    <row r="165">
      <c r="A165" s="164" t="n"/>
      <c r="B165" s="164" t="n"/>
      <c r="C165" s="164" t="n"/>
      <c r="D165" s="164" t="n"/>
      <c r="E165" s="164" t="n"/>
      <c r="F165" s="164" t="n"/>
      <c r="G165" s="164" t="n"/>
      <c r="H165" s="164" t="n"/>
      <c r="I165" s="164" t="n"/>
      <c r="J165" s="164" t="n"/>
      <c r="K165" s="164" t="n"/>
      <c r="L165" s="164" t="n"/>
      <c r="M165" s="164" t="n"/>
    </row>
    <row r="166">
      <c r="A166" s="164" t="n"/>
      <c r="B166" s="164" t="n"/>
      <c r="C166" s="164" t="n"/>
      <c r="D166" s="164" t="n"/>
      <c r="E166" s="164" t="n"/>
      <c r="F166" s="164" t="n"/>
      <c r="G166" s="164" t="n"/>
      <c r="H166" s="164" t="n"/>
      <c r="I166" s="164" t="n"/>
      <c r="J166" s="164" t="n"/>
      <c r="K166" s="164" t="n"/>
      <c r="L166" s="164" t="n"/>
      <c r="M166" s="164" t="n"/>
    </row>
    <row r="167">
      <c r="A167" s="164" t="n"/>
      <c r="B167" s="164" t="n"/>
      <c r="C167" s="164" t="n"/>
      <c r="D167" s="164" t="n"/>
      <c r="E167" s="164" t="n"/>
      <c r="F167" s="164" t="n"/>
      <c r="G167" s="164" t="n"/>
      <c r="H167" s="164" t="n"/>
      <c r="I167" s="164" t="n"/>
      <c r="J167" s="164" t="n"/>
      <c r="K167" s="164" t="n"/>
      <c r="L167" s="164" t="n"/>
      <c r="M167" s="164" t="n"/>
    </row>
    <row r="168">
      <c r="A168" s="164" t="n"/>
      <c r="B168" s="164" t="n"/>
      <c r="C168" s="164" t="n"/>
      <c r="D168" s="164" t="n"/>
      <c r="E168" s="164" t="n"/>
      <c r="F168" s="164" t="n"/>
      <c r="G168" s="164" t="n"/>
      <c r="H168" s="164" t="n"/>
      <c r="I168" s="164" t="n"/>
      <c r="J168" s="164" t="n"/>
      <c r="K168" s="164" t="n"/>
      <c r="L168" s="164" t="n"/>
      <c r="M168" s="164" t="n"/>
    </row>
    <row r="169">
      <c r="A169" s="164" t="n"/>
      <c r="B169" s="164" t="n"/>
      <c r="C169" s="164" t="n"/>
      <c r="D169" s="164" t="n"/>
      <c r="E169" s="164" t="n"/>
      <c r="F169" s="164" t="n"/>
      <c r="G169" s="164" t="n"/>
      <c r="H169" s="164" t="n"/>
      <c r="I169" s="164" t="n"/>
      <c r="J169" s="164" t="n"/>
      <c r="K169" s="164" t="n"/>
      <c r="L169" s="164" t="n"/>
      <c r="M169" s="164" t="n"/>
    </row>
    <row r="170">
      <c r="A170" s="164" t="n"/>
      <c r="B170" s="164" t="n"/>
      <c r="C170" s="164" t="n"/>
      <c r="D170" s="164" t="n"/>
      <c r="E170" s="164" t="n"/>
      <c r="F170" s="164" t="n"/>
      <c r="G170" s="164" t="n"/>
      <c r="H170" s="164" t="n"/>
      <c r="I170" s="164" t="n"/>
      <c r="J170" s="164" t="n"/>
      <c r="K170" s="164" t="n"/>
      <c r="L170" s="164" t="n"/>
      <c r="M170" s="164" t="n"/>
    </row>
    <row r="171">
      <c r="A171" s="164" t="n"/>
      <c r="B171" s="164" t="n"/>
      <c r="C171" s="164" t="n"/>
      <c r="D171" s="164" t="n"/>
      <c r="E171" s="164" t="n"/>
      <c r="F171" s="164" t="n"/>
      <c r="G171" s="164" t="n"/>
      <c r="H171" s="164" t="n"/>
      <c r="I171" s="164" t="n"/>
      <c r="J171" s="164" t="n"/>
      <c r="K171" s="164" t="n"/>
      <c r="L171" s="164" t="n"/>
      <c r="M171" s="164" t="n"/>
    </row>
    <row r="172">
      <c r="A172" s="164" t="n"/>
      <c r="B172" s="164" t="n"/>
      <c r="C172" s="164" t="n"/>
      <c r="D172" s="164" t="n"/>
      <c r="E172" s="164" t="n"/>
      <c r="F172" s="164" t="n"/>
      <c r="G172" s="164" t="n"/>
      <c r="H172" s="164" t="n"/>
      <c r="I172" s="164" t="n"/>
      <c r="J172" s="164" t="n"/>
      <c r="K172" s="164" t="n"/>
      <c r="L172" s="164" t="n"/>
      <c r="M172" s="164" t="n"/>
    </row>
    <row r="173">
      <c r="A173" s="164" t="n"/>
      <c r="B173" s="164" t="n"/>
      <c r="C173" s="164" t="n"/>
      <c r="D173" s="164" t="n"/>
      <c r="E173" s="164" t="n"/>
      <c r="F173" s="164" t="n"/>
      <c r="G173" s="164" t="n"/>
      <c r="H173" s="164" t="n"/>
      <c r="I173" s="164" t="n"/>
      <c r="J173" s="164" t="n"/>
      <c r="K173" s="164" t="n"/>
      <c r="L173" s="164" t="n"/>
      <c r="M173" s="164" t="n"/>
    </row>
    <row r="174">
      <c r="A174" s="164" t="n"/>
      <c r="B174" s="164" t="n"/>
      <c r="C174" s="164" t="n"/>
      <c r="D174" s="164" t="n"/>
      <c r="E174" s="164" t="n"/>
      <c r="F174" s="164" t="n"/>
      <c r="G174" s="164" t="n"/>
      <c r="H174" s="164" t="n"/>
      <c r="I174" s="164" t="n"/>
      <c r="J174" s="164" t="n"/>
      <c r="K174" s="164" t="n"/>
      <c r="L174" s="164" t="n"/>
      <c r="M174" s="164" t="n"/>
    </row>
    <row r="175">
      <c r="A175" s="164" t="n"/>
      <c r="B175" s="164" t="n"/>
      <c r="C175" s="164" t="n"/>
      <c r="D175" s="164" t="n"/>
      <c r="E175" s="164" t="n"/>
      <c r="F175" s="164" t="n"/>
      <c r="G175" s="164" t="n"/>
      <c r="H175" s="164" t="n"/>
      <c r="I175" s="164" t="n"/>
      <c r="J175" s="164" t="n"/>
      <c r="K175" s="164" t="n"/>
      <c r="L175" s="164" t="n"/>
      <c r="M175" s="164" t="n"/>
    </row>
    <row r="176">
      <c r="A176" s="164" t="n"/>
      <c r="B176" s="164" t="n"/>
      <c r="C176" s="164" t="n"/>
      <c r="D176" s="164" t="n"/>
      <c r="E176" s="164" t="n"/>
      <c r="F176" s="164" t="n"/>
      <c r="G176" s="164" t="n"/>
      <c r="H176" s="164" t="n"/>
      <c r="I176" s="164" t="n"/>
      <c r="J176" s="164" t="n"/>
      <c r="K176" s="164" t="n"/>
      <c r="L176" s="164" t="n"/>
      <c r="M176" s="164" t="n"/>
    </row>
    <row r="177">
      <c r="A177" s="164" t="n"/>
      <c r="B177" s="164" t="n"/>
      <c r="C177" s="164" t="n"/>
      <c r="D177" s="164" t="n"/>
      <c r="E177" s="164" t="n"/>
      <c r="F177" s="164" t="n"/>
      <c r="G177" s="164" t="n"/>
      <c r="H177" s="164" t="n"/>
      <c r="I177" s="164" t="n"/>
      <c r="J177" s="164" t="n"/>
      <c r="K177" s="164" t="n"/>
      <c r="L177" s="164" t="n"/>
      <c r="M177" s="164" t="n"/>
    </row>
    <row r="178">
      <c r="A178" s="164" t="n"/>
      <c r="B178" s="164" t="n"/>
      <c r="C178" s="164" t="n"/>
      <c r="D178" s="164" t="n"/>
      <c r="E178" s="164" t="n"/>
      <c r="F178" s="164" t="n"/>
      <c r="G178" s="164" t="n"/>
      <c r="H178" s="164" t="n"/>
      <c r="I178" s="164" t="n"/>
      <c r="J178" s="164" t="n"/>
      <c r="K178" s="164" t="n"/>
      <c r="L178" s="164" t="n"/>
      <c r="M178" s="164" t="n"/>
    </row>
    <row r="179">
      <c r="A179" s="164" t="n"/>
      <c r="B179" s="164" t="n"/>
      <c r="C179" s="164" t="n"/>
      <c r="D179" s="164" t="n"/>
      <c r="E179" s="164" t="n"/>
      <c r="F179" s="164" t="n"/>
      <c r="G179" s="164" t="n"/>
      <c r="H179" s="164" t="n"/>
      <c r="I179" s="164" t="n"/>
      <c r="J179" s="164" t="n"/>
      <c r="K179" s="164" t="n"/>
      <c r="L179" s="164" t="n"/>
      <c r="M179" s="164" t="n"/>
    </row>
    <row r="180">
      <c r="A180" s="164" t="n"/>
      <c r="B180" s="164" t="n"/>
      <c r="C180" s="164" t="n"/>
      <c r="D180" s="164" t="n"/>
      <c r="E180" s="164" t="n"/>
      <c r="F180" s="164" t="n"/>
      <c r="G180" s="164" t="n"/>
      <c r="H180" s="164" t="n"/>
      <c r="I180" s="164" t="n"/>
      <c r="J180" s="164" t="n"/>
      <c r="K180" s="164" t="n"/>
      <c r="L180" s="164" t="n"/>
      <c r="M180" s="164" t="n"/>
    </row>
    <row r="181">
      <c r="A181" s="164" t="n"/>
      <c r="B181" s="164" t="n"/>
      <c r="C181" s="164" t="n"/>
      <c r="D181" s="164" t="n"/>
      <c r="E181" s="164" t="n"/>
      <c r="F181" s="164" t="n"/>
      <c r="G181" s="164" t="n"/>
      <c r="H181" s="164" t="n"/>
      <c r="I181" s="164" t="n"/>
      <c r="J181" s="164" t="n"/>
      <c r="K181" s="164" t="n"/>
      <c r="L181" s="164" t="n"/>
      <c r="M181" s="164" t="n"/>
    </row>
    <row r="182">
      <c r="A182" s="164" t="n"/>
      <c r="B182" s="164" t="n"/>
      <c r="C182" s="164" t="n"/>
      <c r="D182" s="164" t="n"/>
      <c r="E182" s="164" t="n"/>
      <c r="F182" s="164" t="n"/>
      <c r="G182" s="164" t="n"/>
      <c r="H182" s="164" t="n"/>
      <c r="I182" s="164" t="n"/>
      <c r="J182" s="164" t="n"/>
      <c r="K182" s="164" t="n"/>
      <c r="L182" s="164" t="n"/>
      <c r="M182" s="164" t="n"/>
    </row>
    <row r="183">
      <c r="A183" s="164" t="n"/>
      <c r="B183" s="164" t="n"/>
      <c r="C183" s="164" t="n"/>
      <c r="D183" s="164" t="n"/>
      <c r="E183" s="164" t="n"/>
      <c r="F183" s="164" t="n"/>
      <c r="G183" s="164" t="n"/>
      <c r="H183" s="164" t="n"/>
      <c r="I183" s="164" t="n"/>
      <c r="J183" s="164" t="n"/>
      <c r="K183" s="164" t="n"/>
      <c r="L183" s="164" t="n"/>
      <c r="M183" s="164" t="n"/>
    </row>
    <row r="184">
      <c r="A184" s="164" t="n"/>
      <c r="B184" s="164" t="n"/>
      <c r="C184" s="164" t="n"/>
      <c r="D184" s="164" t="n"/>
      <c r="E184" s="164" t="n"/>
      <c r="F184" s="164" t="n"/>
      <c r="G184" s="164" t="n"/>
      <c r="H184" s="164" t="n"/>
      <c r="I184" s="164" t="n"/>
      <c r="J184" s="164" t="n"/>
      <c r="K184" s="164" t="n"/>
      <c r="L184" s="164" t="n"/>
      <c r="M184" s="164" t="n"/>
    </row>
    <row r="185">
      <c r="A185" s="164" t="n"/>
      <c r="B185" s="164" t="n"/>
      <c r="C185" s="164" t="n"/>
      <c r="D185" s="164" t="n"/>
      <c r="E185" s="164" t="n"/>
      <c r="F185" s="164" t="n"/>
      <c r="G185" s="164" t="n"/>
      <c r="H185" s="164" t="n"/>
      <c r="I185" s="164" t="n"/>
      <c r="J185" s="164" t="n"/>
      <c r="K185" s="164" t="n"/>
      <c r="L185" s="164" t="n"/>
      <c r="M185" s="164" t="n"/>
    </row>
    <row r="186">
      <c r="A186" s="164" t="n"/>
      <c r="B186" s="164" t="n"/>
      <c r="C186" s="164" t="n"/>
      <c r="D186" s="164" t="n"/>
      <c r="E186" s="164" t="n"/>
      <c r="F186" s="164" t="n"/>
      <c r="G186" s="164" t="n"/>
      <c r="H186" s="164" t="n"/>
      <c r="I186" s="164" t="n"/>
      <c r="J186" s="164" t="n"/>
      <c r="K186" s="164" t="n"/>
      <c r="L186" s="164" t="n"/>
      <c r="M186" s="164" t="n"/>
    </row>
    <row r="187">
      <c r="A187" s="164" t="n"/>
      <c r="B187" s="164" t="n"/>
      <c r="C187" s="164" t="n"/>
      <c r="D187" s="164" t="n"/>
      <c r="E187" s="164" t="n"/>
      <c r="F187" s="164" t="n"/>
      <c r="G187" s="164" t="n"/>
      <c r="H187" s="164" t="n"/>
      <c r="I187" s="164" t="n"/>
      <c r="J187" s="164" t="n"/>
      <c r="K187" s="164" t="n"/>
      <c r="L187" s="164" t="n"/>
      <c r="M187" s="164" t="n"/>
    </row>
    <row r="188">
      <c r="A188" s="164" t="n"/>
      <c r="B188" s="164" t="n"/>
      <c r="C188" s="164" t="n"/>
      <c r="D188" s="164" t="n"/>
      <c r="E188" s="164" t="n"/>
      <c r="F188" s="164" t="n"/>
      <c r="G188" s="164" t="n"/>
      <c r="H188" s="164" t="n"/>
      <c r="I188" s="164" t="n"/>
      <c r="J188" s="164" t="n"/>
      <c r="K188" s="164" t="n"/>
      <c r="L188" s="164" t="n"/>
      <c r="M188" s="164" t="n"/>
    </row>
    <row r="189">
      <c r="A189" s="164" t="n"/>
      <c r="B189" s="164" t="n"/>
      <c r="C189" s="164" t="n"/>
      <c r="D189" s="164" t="n"/>
      <c r="E189" s="164" t="n"/>
      <c r="F189" s="164" t="n"/>
      <c r="G189" s="164" t="n"/>
      <c r="H189" s="164" t="n"/>
      <c r="I189" s="164" t="n"/>
      <c r="J189" s="164" t="n"/>
      <c r="K189" s="164" t="n"/>
      <c r="L189" s="164" t="n"/>
      <c r="M189" s="164" t="n"/>
    </row>
    <row r="190">
      <c r="A190" s="164" t="n"/>
      <c r="B190" s="164" t="n"/>
      <c r="C190" s="164" t="n"/>
      <c r="D190" s="164" t="n"/>
      <c r="E190" s="164" t="n"/>
      <c r="F190" s="164" t="n"/>
      <c r="G190" s="164" t="n"/>
      <c r="H190" s="164" t="n"/>
      <c r="I190" s="164" t="n"/>
      <c r="J190" s="164" t="n"/>
      <c r="K190" s="164" t="n"/>
      <c r="L190" s="164" t="n"/>
      <c r="M190" s="164" t="n"/>
    </row>
    <row r="191">
      <c r="A191" s="164" t="n"/>
      <c r="B191" s="164" t="n"/>
      <c r="C191" s="164" t="n"/>
      <c r="D191" s="164" t="n"/>
      <c r="E191" s="164" t="n"/>
      <c r="F191" s="164" t="n"/>
      <c r="G191" s="164" t="n"/>
      <c r="H191" s="164" t="n"/>
      <c r="I191" s="164" t="n"/>
      <c r="J191" s="164" t="n"/>
      <c r="K191" s="164" t="n"/>
      <c r="L191" s="164" t="n"/>
      <c r="M191" s="164" t="n"/>
    </row>
    <row r="192">
      <c r="A192" s="164" t="n"/>
      <c r="B192" s="164" t="n"/>
      <c r="C192" s="164" t="n"/>
      <c r="D192" s="164" t="n"/>
      <c r="E192" s="164" t="n"/>
      <c r="F192" s="164" t="n"/>
      <c r="G192" s="164" t="n"/>
      <c r="H192" s="164" t="n"/>
      <c r="I192" s="164" t="n"/>
      <c r="J192" s="164" t="n"/>
      <c r="K192" s="164" t="n"/>
      <c r="L192" s="164" t="n"/>
      <c r="M192" s="164" t="n"/>
    </row>
    <row r="193">
      <c r="A193" s="164" t="n"/>
      <c r="B193" s="164" t="n"/>
      <c r="C193" s="164" t="n"/>
      <c r="D193" s="164" t="n"/>
      <c r="E193" s="164" t="n"/>
      <c r="F193" s="164" t="n"/>
      <c r="G193" s="164" t="n"/>
      <c r="H193" s="164" t="n"/>
      <c r="I193" s="164" t="n"/>
      <c r="J193" s="164" t="n"/>
      <c r="K193" s="164" t="n"/>
      <c r="L193" s="164" t="n"/>
      <c r="M193" s="164" t="n"/>
    </row>
    <row r="194">
      <c r="A194" s="164" t="n"/>
      <c r="B194" s="164" t="n"/>
      <c r="C194" s="164" t="n"/>
      <c r="D194" s="164" t="n"/>
      <c r="E194" s="164" t="n"/>
      <c r="F194" s="164" t="n"/>
      <c r="G194" s="164" t="n"/>
      <c r="H194" s="164" t="n"/>
      <c r="I194" s="164" t="n"/>
      <c r="J194" s="164" t="n"/>
      <c r="K194" s="164" t="n"/>
      <c r="L194" s="164" t="n"/>
      <c r="M194" s="164" t="n"/>
    </row>
    <row r="195">
      <c r="A195" s="164" t="n"/>
      <c r="B195" s="164" t="n"/>
      <c r="C195" s="164" t="n"/>
      <c r="D195" s="164" t="n"/>
      <c r="E195" s="164" t="n"/>
      <c r="F195" s="164" t="n"/>
      <c r="G195" s="164" t="n"/>
      <c r="H195" s="164" t="n"/>
      <c r="I195" s="164" t="n"/>
      <c r="J195" s="164" t="n"/>
      <c r="K195" s="164" t="n"/>
      <c r="L195" s="164" t="n"/>
      <c r="M195" s="164" t="n"/>
    </row>
    <row r="196">
      <c r="A196" s="164" t="n"/>
      <c r="B196" s="164" t="n"/>
      <c r="C196" s="164" t="n"/>
      <c r="D196" s="164" t="n"/>
      <c r="E196" s="164" t="n"/>
      <c r="F196" s="164" t="n"/>
      <c r="G196" s="164" t="n"/>
      <c r="H196" s="164" t="n"/>
      <c r="I196" s="164" t="n"/>
      <c r="J196" s="164" t="n"/>
      <c r="K196" s="164" t="n"/>
      <c r="L196" s="164" t="n"/>
      <c r="M196" s="164" t="n"/>
    </row>
    <row r="197">
      <c r="A197" s="164" t="n"/>
      <c r="B197" s="164" t="n"/>
      <c r="C197" s="164" t="n"/>
      <c r="D197" s="164" t="n"/>
      <c r="E197" s="164" t="n"/>
      <c r="F197" s="164" t="n"/>
      <c r="G197" s="164" t="n"/>
      <c r="H197" s="164" t="n"/>
      <c r="I197" s="164" t="n"/>
      <c r="J197" s="164" t="n"/>
      <c r="K197" s="164" t="n"/>
      <c r="L197" s="164" t="n"/>
      <c r="M197" s="164" t="n"/>
    </row>
    <row r="198">
      <c r="A198" s="164" t="n"/>
      <c r="B198" s="164" t="n"/>
      <c r="C198" s="164" t="n"/>
      <c r="D198" s="164" t="n"/>
      <c r="E198" s="164" t="n"/>
      <c r="F198" s="164" t="n"/>
      <c r="G198" s="164" t="n"/>
      <c r="H198" s="164" t="n"/>
      <c r="I198" s="164" t="n"/>
      <c r="J198" s="164" t="n"/>
      <c r="K198" s="164" t="n"/>
      <c r="L198" s="164" t="n"/>
      <c r="M198" s="164" t="n"/>
    </row>
    <row r="199">
      <c r="A199" s="164" t="n"/>
      <c r="B199" s="164" t="n"/>
      <c r="C199" s="164" t="n"/>
      <c r="D199" s="164" t="n"/>
      <c r="E199" s="164" t="n"/>
      <c r="F199" s="164" t="n"/>
      <c r="G199" s="164" t="n"/>
      <c r="H199" s="164" t="n"/>
      <c r="I199" s="164" t="n"/>
      <c r="J199" s="164" t="n"/>
      <c r="K199" s="164" t="n"/>
      <c r="L199" s="164" t="n"/>
      <c r="M199" s="164" t="n"/>
    </row>
    <row r="200">
      <c r="A200" s="164" t="n"/>
      <c r="B200" s="164" t="n"/>
      <c r="C200" s="164" t="n"/>
      <c r="D200" s="164" t="n"/>
      <c r="E200" s="164" t="n"/>
      <c r="F200" s="164" t="n"/>
      <c r="G200" s="164" t="n"/>
      <c r="H200" s="164" t="n"/>
      <c r="I200" s="164" t="n"/>
      <c r="J200" s="164" t="n"/>
      <c r="K200" s="164" t="n"/>
      <c r="L200" s="164" t="n"/>
      <c r="M200" s="164" t="n"/>
    </row>
    <row r="201">
      <c r="A201" s="164" t="n"/>
      <c r="B201" s="164" t="n"/>
      <c r="C201" s="164" t="n"/>
      <c r="D201" s="164" t="n"/>
      <c r="E201" s="164" t="n"/>
      <c r="F201" s="164" t="n"/>
      <c r="G201" s="164" t="n"/>
      <c r="H201" s="164" t="n"/>
      <c r="I201" s="164" t="n"/>
      <c r="J201" s="164" t="n"/>
      <c r="K201" s="164" t="n"/>
      <c r="L201" s="164" t="n"/>
      <c r="M201" s="164" t="n"/>
    </row>
    <row r="202">
      <c r="A202" s="164" t="n"/>
      <c r="B202" s="164" t="n"/>
      <c r="C202" s="164" t="n"/>
      <c r="D202" s="164" t="n"/>
      <c r="E202" s="164" t="n"/>
      <c r="F202" s="164" t="n"/>
      <c r="G202" s="164" t="n"/>
      <c r="H202" s="164" t="n"/>
      <c r="I202" s="164" t="n"/>
      <c r="J202" s="164" t="n"/>
      <c r="K202" s="164" t="n"/>
      <c r="L202" s="164" t="n"/>
      <c r="M202" s="164" t="n"/>
    </row>
    <row r="203">
      <c r="A203" s="164" t="n"/>
      <c r="B203" s="164" t="n"/>
      <c r="C203" s="164" t="n"/>
      <c r="D203" s="164" t="n"/>
      <c r="E203" s="164" t="n"/>
      <c r="F203" s="164" t="n"/>
      <c r="G203" s="164" t="n"/>
      <c r="H203" s="164" t="n"/>
      <c r="I203" s="164" t="n"/>
      <c r="J203" s="164" t="n"/>
      <c r="K203" s="164" t="n"/>
      <c r="L203" s="164" t="n"/>
      <c r="M203" s="164" t="n"/>
    </row>
    <row r="204">
      <c r="A204" s="164" t="n"/>
      <c r="B204" s="164" t="n"/>
      <c r="C204" s="164" t="n"/>
      <c r="D204" s="164" t="n"/>
      <c r="E204" s="164" t="n"/>
      <c r="F204" s="164" t="n"/>
      <c r="G204" s="164" t="n"/>
      <c r="H204" s="164" t="n"/>
      <c r="I204" s="164" t="n"/>
      <c r="J204" s="164" t="n"/>
      <c r="K204" s="164" t="n"/>
      <c r="L204" s="164" t="n"/>
      <c r="M204" s="164" t="n"/>
    </row>
    <row r="205">
      <c r="A205" s="164" t="n"/>
      <c r="B205" s="164" t="n"/>
      <c r="C205" s="164" t="n"/>
      <c r="D205" s="164" t="n"/>
      <c r="E205" s="164" t="n"/>
      <c r="F205" s="164" t="n"/>
      <c r="G205" s="164" t="n"/>
      <c r="H205" s="164" t="n"/>
      <c r="I205" s="164" t="n"/>
      <c r="J205" s="164" t="n"/>
      <c r="K205" s="164" t="n"/>
      <c r="L205" s="164" t="n"/>
      <c r="M205" s="164" t="n"/>
    </row>
    <row r="206">
      <c r="A206" s="164" t="n"/>
      <c r="B206" s="164" t="n"/>
      <c r="C206" s="164" t="n"/>
      <c r="D206" s="164" t="n"/>
      <c r="E206" s="164" t="n"/>
      <c r="F206" s="164" t="n"/>
      <c r="G206" s="164" t="n"/>
      <c r="H206" s="164" t="n"/>
      <c r="I206" s="164" t="n"/>
      <c r="J206" s="164" t="n"/>
      <c r="K206" s="164" t="n"/>
      <c r="L206" s="164" t="n"/>
      <c r="M206" s="164" t="n"/>
    </row>
    <row r="207">
      <c r="A207" s="164" t="n"/>
      <c r="B207" s="164" t="n"/>
      <c r="C207" s="164" t="n"/>
      <c r="D207" s="164" t="n"/>
      <c r="E207" s="164" t="n"/>
      <c r="F207" s="164" t="n"/>
      <c r="G207" s="164" t="n"/>
      <c r="H207" s="164" t="n"/>
      <c r="I207" s="164" t="n"/>
      <c r="J207" s="164" t="n"/>
      <c r="K207" s="164" t="n"/>
      <c r="L207" s="164" t="n"/>
      <c r="M207" s="164" t="n"/>
    </row>
    <row r="208">
      <c r="A208" s="164" t="n"/>
      <c r="B208" s="164" t="n"/>
      <c r="C208" s="164" t="n"/>
      <c r="D208" s="164" t="n"/>
      <c r="E208" s="164" t="n"/>
      <c r="F208" s="164" t="n"/>
      <c r="G208" s="164" t="n"/>
      <c r="H208" s="164" t="n"/>
      <c r="I208" s="164" t="n"/>
      <c r="J208" s="164" t="n"/>
      <c r="K208" s="164" t="n"/>
      <c r="L208" s="164" t="n"/>
      <c r="M208" s="164" t="n"/>
    </row>
    <row r="209">
      <c r="A209" s="164" t="n"/>
      <c r="B209" s="164" t="n"/>
      <c r="C209" s="164" t="n"/>
      <c r="D209" s="164" t="n"/>
      <c r="E209" s="164" t="n"/>
      <c r="F209" s="164" t="n"/>
      <c r="G209" s="164" t="n"/>
      <c r="H209" s="164" t="n"/>
      <c r="I209" s="164" t="n"/>
      <c r="J209" s="164" t="n"/>
      <c r="K209" s="164" t="n"/>
      <c r="L209" s="164" t="n"/>
      <c r="M209" s="164" t="n"/>
    </row>
    <row r="210">
      <c r="A210" s="164" t="n"/>
      <c r="B210" s="164" t="n"/>
      <c r="C210" s="164" t="n"/>
      <c r="D210" s="164" t="n"/>
      <c r="E210" s="164" t="n"/>
      <c r="F210" s="164" t="n"/>
      <c r="G210" s="164" t="n"/>
      <c r="H210" s="164" t="n"/>
      <c r="I210" s="164" t="n"/>
      <c r="J210" s="164" t="n"/>
      <c r="K210" s="164" t="n"/>
      <c r="L210" s="164" t="n"/>
      <c r="M210" s="164" t="n"/>
    </row>
    <row r="211">
      <c r="A211" s="164" t="n"/>
      <c r="B211" s="164" t="n"/>
      <c r="C211" s="164" t="n"/>
      <c r="D211" s="164" t="n"/>
      <c r="E211" s="164" t="n"/>
      <c r="F211" s="164" t="n"/>
      <c r="G211" s="164" t="n"/>
      <c r="H211" s="164" t="n"/>
      <c r="I211" s="164" t="n"/>
      <c r="J211" s="164" t="n"/>
      <c r="K211" s="164" t="n"/>
      <c r="L211" s="164" t="n"/>
      <c r="M211" s="164" t="n"/>
    </row>
    <row r="212">
      <c r="A212" s="164" t="n"/>
      <c r="B212" s="164" t="n"/>
      <c r="C212" s="164" t="n"/>
      <c r="D212" s="164" t="n"/>
      <c r="E212" s="164" t="n"/>
      <c r="F212" s="164" t="n"/>
      <c r="G212" s="164" t="n"/>
      <c r="H212" s="164" t="n"/>
      <c r="I212" s="164" t="n"/>
      <c r="J212" s="164" t="n"/>
      <c r="K212" s="164" t="n"/>
      <c r="L212" s="164" t="n"/>
      <c r="M212" s="164" t="n"/>
    </row>
    <row r="213">
      <c r="A213" s="164" t="n"/>
      <c r="B213" s="164" t="n"/>
      <c r="C213" s="164" t="n"/>
      <c r="D213" s="164" t="n"/>
      <c r="E213" s="164" t="n"/>
      <c r="F213" s="164" t="n"/>
      <c r="G213" s="164" t="n"/>
      <c r="H213" s="164" t="n"/>
      <c r="I213" s="164" t="n"/>
      <c r="J213" s="164" t="n"/>
      <c r="K213" s="164" t="n"/>
      <c r="L213" s="164" t="n"/>
      <c r="M213" s="164" t="n"/>
    </row>
    <row r="214">
      <c r="A214" s="164" t="n"/>
      <c r="B214" s="164" t="n"/>
      <c r="C214" s="164" t="n"/>
      <c r="D214" s="164" t="n"/>
      <c r="E214" s="164" t="n"/>
      <c r="F214" s="164" t="n"/>
      <c r="G214" s="164" t="n"/>
      <c r="H214" s="164" t="n"/>
      <c r="I214" s="164" t="n"/>
      <c r="J214" s="164" t="n"/>
      <c r="K214" s="164" t="n"/>
      <c r="L214" s="164" t="n"/>
      <c r="M214" s="164" t="n"/>
    </row>
    <row r="215">
      <c r="A215" s="164" t="n"/>
      <c r="B215" s="164" t="n"/>
      <c r="C215" s="164" t="n"/>
      <c r="D215" s="164" t="n"/>
      <c r="E215" s="164" t="n"/>
      <c r="F215" s="164" t="n"/>
      <c r="G215" s="164" t="n"/>
      <c r="H215" s="164" t="n"/>
      <c r="I215" s="164" t="n"/>
      <c r="J215" s="164" t="n"/>
      <c r="K215" s="164" t="n"/>
      <c r="L215" s="164" t="n"/>
      <c r="M215" s="164" t="n"/>
    </row>
    <row r="216">
      <c r="A216" s="164" t="n"/>
      <c r="B216" s="164" t="n"/>
      <c r="C216" s="164" t="n"/>
      <c r="D216" s="164" t="n"/>
      <c r="E216" s="164" t="n"/>
      <c r="F216" s="164" t="n"/>
      <c r="G216" s="164" t="n"/>
      <c r="H216" s="164" t="n"/>
      <c r="I216" s="164" t="n"/>
      <c r="J216" s="164" t="n"/>
      <c r="K216" s="164" t="n"/>
      <c r="L216" s="164" t="n"/>
      <c r="M216" s="164" t="n"/>
    </row>
    <row r="217">
      <c r="A217" s="164" t="n"/>
      <c r="B217" s="164" t="n"/>
      <c r="C217" s="164" t="n"/>
      <c r="D217" s="164" t="n"/>
      <c r="E217" s="164" t="n"/>
      <c r="F217" s="164" t="n"/>
      <c r="G217" s="164" t="n"/>
      <c r="H217" s="164" t="n"/>
      <c r="I217" s="164" t="n"/>
      <c r="J217" s="164" t="n"/>
      <c r="K217" s="164" t="n"/>
      <c r="L217" s="164" t="n"/>
      <c r="M217" s="164" t="n"/>
    </row>
    <row r="218">
      <c r="A218" s="164" t="n"/>
      <c r="B218" s="164" t="n"/>
      <c r="C218" s="164" t="n"/>
      <c r="D218" s="164" t="n"/>
      <c r="E218" s="164" t="n"/>
      <c r="F218" s="164" t="n"/>
      <c r="G218" s="164" t="n"/>
      <c r="H218" s="164" t="n"/>
      <c r="I218" s="164" t="n"/>
      <c r="J218" s="164" t="n"/>
      <c r="K218" s="164" t="n"/>
      <c r="L218" s="164" t="n"/>
      <c r="M218" s="164" t="n"/>
    </row>
    <row r="219">
      <c r="A219" s="164" t="n"/>
      <c r="B219" s="164" t="n"/>
      <c r="C219" s="164" t="n"/>
      <c r="D219" s="164" t="n"/>
      <c r="E219" s="164" t="n"/>
      <c r="F219" s="164" t="n"/>
      <c r="G219" s="164" t="n"/>
      <c r="H219" s="164" t="n"/>
      <c r="I219" s="164" t="n"/>
      <c r="J219" s="164" t="n"/>
      <c r="K219" s="164" t="n"/>
      <c r="L219" s="164" t="n"/>
      <c r="M219" s="164" t="n"/>
    </row>
    <row r="220">
      <c r="A220" s="164" t="n"/>
      <c r="B220" s="164" t="n"/>
      <c r="C220" s="164" t="n"/>
      <c r="D220" s="164" t="n"/>
      <c r="E220" s="164" t="n"/>
      <c r="F220" s="164" t="n"/>
      <c r="G220" s="164" t="n"/>
      <c r="H220" s="164" t="n"/>
      <c r="I220" s="164" t="n"/>
      <c r="J220" s="164" t="n"/>
      <c r="K220" s="164" t="n"/>
      <c r="L220" s="164" t="n"/>
      <c r="M220" s="164" t="n"/>
    </row>
    <row r="221">
      <c r="A221" s="164" t="n"/>
      <c r="B221" s="164" t="n"/>
      <c r="C221" s="164" t="n"/>
      <c r="D221" s="164" t="n"/>
      <c r="E221" s="164" t="n"/>
      <c r="F221" s="164" t="n"/>
      <c r="G221" s="164" t="n"/>
      <c r="H221" s="164" t="n"/>
      <c r="I221" s="164" t="n"/>
      <c r="J221" s="164" t="n"/>
      <c r="K221" s="164" t="n"/>
      <c r="L221" s="164" t="n"/>
      <c r="M221" s="164" t="n"/>
    </row>
    <row r="222">
      <c r="A222" s="164" t="n"/>
      <c r="B222" s="164" t="n"/>
      <c r="C222" s="164" t="n"/>
      <c r="D222" s="164" t="n"/>
      <c r="E222" s="164" t="n"/>
      <c r="F222" s="164" t="n"/>
      <c r="G222" s="164" t="n"/>
      <c r="H222" s="164" t="n"/>
      <c r="I222" s="164" t="n"/>
      <c r="J222" s="164" t="n"/>
      <c r="K222" s="164" t="n"/>
      <c r="L222" s="164" t="n"/>
      <c r="M222" s="164" t="n"/>
    </row>
    <row r="223">
      <c r="A223" s="164" t="n"/>
      <c r="B223" s="164" t="n"/>
      <c r="C223" s="164" t="n"/>
      <c r="D223" s="164" t="n"/>
      <c r="E223" s="164" t="n"/>
      <c r="F223" s="164" t="n"/>
      <c r="G223" s="164" t="n"/>
      <c r="H223" s="164" t="n"/>
      <c r="I223" s="164" t="n"/>
      <c r="J223" s="164" t="n"/>
      <c r="K223" s="164" t="n"/>
      <c r="L223" s="164" t="n"/>
      <c r="M223" s="164" t="n"/>
    </row>
    <row r="224">
      <c r="A224" s="164" t="n"/>
      <c r="B224" s="164" t="n"/>
      <c r="C224" s="164" t="n"/>
      <c r="D224" s="164" t="n"/>
      <c r="E224" s="164" t="n"/>
      <c r="F224" s="164" t="n"/>
      <c r="G224" s="164" t="n"/>
      <c r="H224" s="164" t="n"/>
      <c r="I224" s="164" t="n"/>
      <c r="J224" s="164" t="n"/>
      <c r="K224" s="164" t="n"/>
      <c r="L224" s="164" t="n"/>
      <c r="M224" s="164" t="n"/>
    </row>
    <row r="225">
      <c r="A225" s="164" t="n"/>
      <c r="B225" s="164" t="n"/>
      <c r="C225" s="164" t="n"/>
      <c r="D225" s="164" t="n"/>
      <c r="E225" s="164" t="n"/>
      <c r="F225" s="164" t="n"/>
      <c r="G225" s="164" t="n"/>
      <c r="H225" s="164" t="n"/>
      <c r="I225" s="164" t="n"/>
      <c r="J225" s="164" t="n"/>
      <c r="K225" s="164" t="n"/>
      <c r="L225" s="164" t="n"/>
      <c r="M225" s="164" t="n"/>
    </row>
    <row r="226">
      <c r="A226" s="164" t="n"/>
      <c r="B226" s="164" t="n"/>
      <c r="C226" s="164" t="n"/>
      <c r="D226" s="164" t="n"/>
      <c r="E226" s="164" t="n"/>
      <c r="F226" s="164" t="n"/>
      <c r="G226" s="164" t="n"/>
      <c r="H226" s="164" t="n"/>
      <c r="I226" s="164" t="n"/>
      <c r="J226" s="164" t="n"/>
      <c r="K226" s="164" t="n"/>
      <c r="L226" s="164" t="n"/>
      <c r="M226" s="164" t="n"/>
    </row>
    <row r="227">
      <c r="A227" s="164" t="n"/>
      <c r="B227" s="164" t="n"/>
      <c r="C227" s="164" t="n"/>
      <c r="D227" s="164" t="n"/>
      <c r="E227" s="164" t="n"/>
      <c r="F227" s="164" t="n"/>
      <c r="G227" s="164" t="n"/>
      <c r="H227" s="164" t="n"/>
      <c r="I227" s="164" t="n"/>
      <c r="J227" s="164" t="n"/>
      <c r="K227" s="164" t="n"/>
      <c r="L227" s="164" t="n"/>
      <c r="M227" s="164" t="n"/>
    </row>
    <row r="228">
      <c r="A228" s="164" t="n"/>
      <c r="B228" s="164" t="n"/>
      <c r="C228" s="164" t="n"/>
      <c r="D228" s="164" t="n"/>
      <c r="E228" s="164" t="n"/>
      <c r="F228" s="164" t="n"/>
      <c r="G228" s="164" t="n"/>
      <c r="H228" s="164" t="n"/>
      <c r="I228" s="164" t="n"/>
      <c r="J228" s="164" t="n"/>
      <c r="K228" s="164" t="n"/>
      <c r="L228" s="164" t="n"/>
      <c r="M228" s="164" t="n"/>
    </row>
    <row r="229">
      <c r="A229" s="164" t="n"/>
      <c r="B229" s="164" t="n"/>
      <c r="C229" s="164" t="n"/>
      <c r="D229" s="164" t="n"/>
      <c r="E229" s="164" t="n"/>
      <c r="F229" s="164" t="n"/>
      <c r="G229" s="164" t="n"/>
      <c r="H229" s="164" t="n"/>
      <c r="I229" s="164" t="n"/>
      <c r="J229" s="164" t="n"/>
      <c r="K229" s="164" t="n"/>
      <c r="L229" s="164" t="n"/>
      <c r="M229" s="164" t="n"/>
    </row>
    <row r="230">
      <c r="A230" s="164" t="n"/>
      <c r="B230" s="164" t="n"/>
      <c r="C230" s="164" t="n"/>
      <c r="D230" s="164" t="n"/>
      <c r="E230" s="164" t="n"/>
      <c r="F230" s="164" t="n"/>
      <c r="G230" s="164" t="n"/>
      <c r="H230" s="164" t="n"/>
      <c r="I230" s="164" t="n"/>
      <c r="J230" s="164" t="n"/>
      <c r="K230" s="164" t="n"/>
      <c r="L230" s="164" t="n"/>
      <c r="M230" s="164" t="n"/>
    </row>
    <row r="231">
      <c r="A231" s="164" t="n"/>
      <c r="B231" s="164" t="n"/>
      <c r="C231" s="164" t="n"/>
      <c r="D231" s="164" t="n"/>
      <c r="E231" s="164" t="n"/>
      <c r="F231" s="164" t="n"/>
      <c r="G231" s="164" t="n"/>
      <c r="H231" s="164" t="n"/>
      <c r="I231" s="164" t="n"/>
      <c r="J231" s="164" t="n"/>
      <c r="K231" s="164" t="n"/>
      <c r="L231" s="164" t="n"/>
      <c r="M231" s="164" t="n"/>
    </row>
    <row r="232">
      <c r="A232" s="164" t="n"/>
      <c r="B232" s="164" t="n"/>
      <c r="C232" s="164" t="n"/>
      <c r="D232" s="164" t="n"/>
      <c r="E232" s="164" t="n"/>
      <c r="F232" s="164" t="n"/>
      <c r="G232" s="164" t="n"/>
      <c r="H232" s="164" t="n"/>
      <c r="I232" s="164" t="n"/>
      <c r="J232" s="164" t="n"/>
      <c r="K232" s="164" t="n"/>
      <c r="L232" s="164" t="n"/>
      <c r="M232" s="164" t="n"/>
    </row>
    <row r="233">
      <c r="A233" s="164" t="n"/>
      <c r="B233" s="164" t="n"/>
      <c r="C233" s="164" t="n"/>
      <c r="D233" s="164" t="n"/>
      <c r="E233" s="164" t="n"/>
      <c r="F233" s="164" t="n"/>
      <c r="G233" s="164" t="n"/>
      <c r="H233" s="164" t="n"/>
      <c r="I233" s="164" t="n"/>
      <c r="J233" s="164" t="n"/>
      <c r="K233" s="164" t="n"/>
      <c r="L233" s="164" t="n"/>
      <c r="M233" s="164" t="n"/>
    </row>
    <row r="234">
      <c r="A234" s="164" t="n"/>
      <c r="B234" s="164" t="n"/>
      <c r="C234" s="164" t="n"/>
      <c r="D234" s="164" t="n"/>
      <c r="E234" s="164" t="n"/>
      <c r="F234" s="164" t="n"/>
      <c r="G234" s="164" t="n"/>
      <c r="H234" s="164" t="n"/>
      <c r="I234" s="164" t="n"/>
      <c r="J234" s="164" t="n"/>
      <c r="K234" s="164" t="n"/>
      <c r="L234" s="164" t="n"/>
      <c r="M234" s="164" t="n"/>
    </row>
    <row r="235">
      <c r="A235" s="164" t="n"/>
      <c r="B235" s="164" t="n"/>
      <c r="C235" s="164" t="n"/>
      <c r="D235" s="164" t="n"/>
      <c r="E235" s="164" t="n"/>
      <c r="F235" s="164" t="n"/>
      <c r="G235" s="164" t="n"/>
      <c r="H235" s="164" t="n"/>
      <c r="I235" s="164" t="n"/>
      <c r="J235" s="164" t="n"/>
      <c r="K235" s="164" t="n"/>
      <c r="L235" s="164" t="n"/>
      <c r="M235" s="164" t="n"/>
    </row>
    <row r="236">
      <c r="A236" s="164" t="n"/>
      <c r="B236" s="164" t="n"/>
      <c r="C236" s="164" t="n"/>
      <c r="D236" s="164" t="n"/>
      <c r="E236" s="164" t="n"/>
      <c r="F236" s="164" t="n"/>
      <c r="G236" s="164" t="n"/>
      <c r="H236" s="164" t="n"/>
      <c r="I236" s="164" t="n"/>
      <c r="J236" s="164" t="n"/>
      <c r="K236" s="164" t="n"/>
      <c r="L236" s="164" t="n"/>
      <c r="M236" s="164" t="n"/>
    </row>
    <row r="237">
      <c r="A237" s="164" t="n"/>
      <c r="B237" s="164" t="n"/>
      <c r="C237" s="164" t="n"/>
      <c r="D237" s="164" t="n"/>
      <c r="E237" s="164" t="n"/>
      <c r="F237" s="164" t="n"/>
      <c r="G237" s="164" t="n"/>
      <c r="H237" s="164" t="n"/>
      <c r="I237" s="164" t="n"/>
      <c r="J237" s="164" t="n"/>
      <c r="K237" s="164" t="n"/>
      <c r="L237" s="164" t="n"/>
      <c r="M237" s="164" t="n"/>
    </row>
    <row r="238">
      <c r="A238" s="164" t="n"/>
      <c r="B238" s="164" t="n"/>
      <c r="C238" s="164" t="n"/>
      <c r="D238" s="164" t="n"/>
      <c r="E238" s="164" t="n"/>
      <c r="F238" s="164" t="n"/>
      <c r="G238" s="164" t="n"/>
      <c r="H238" s="164" t="n"/>
      <c r="I238" s="164" t="n"/>
      <c r="J238" s="164" t="n"/>
      <c r="K238" s="164" t="n"/>
      <c r="L238" s="164" t="n"/>
      <c r="M238" s="164" t="n"/>
    </row>
    <row r="239">
      <c r="A239" s="164" t="n"/>
      <c r="B239" s="164" t="n"/>
      <c r="C239" s="164" t="n"/>
      <c r="D239" s="164" t="n"/>
      <c r="E239" s="164" t="n"/>
      <c r="F239" s="164" t="n"/>
      <c r="G239" s="164" t="n"/>
      <c r="H239" s="164" t="n"/>
      <c r="I239" s="164" t="n"/>
      <c r="J239" s="164" t="n"/>
      <c r="K239" s="164" t="n"/>
      <c r="L239" s="164" t="n"/>
      <c r="M239" s="164" t="n"/>
    </row>
    <row r="240">
      <c r="A240" s="164" t="n"/>
      <c r="B240" s="164" t="n"/>
      <c r="C240" s="164" t="n"/>
      <c r="D240" s="164" t="n"/>
      <c r="E240" s="164" t="n"/>
      <c r="F240" s="164" t="n"/>
      <c r="G240" s="164" t="n"/>
      <c r="H240" s="164" t="n"/>
      <c r="I240" s="164" t="n"/>
      <c r="J240" s="164" t="n"/>
      <c r="K240" s="164" t="n"/>
      <c r="L240" s="164" t="n"/>
      <c r="M240" s="164" t="n"/>
    </row>
    <row r="241">
      <c r="A241" s="164" t="n"/>
      <c r="B241" s="164" t="n"/>
      <c r="C241" s="164" t="n"/>
      <c r="D241" s="164" t="n"/>
      <c r="E241" s="164" t="n"/>
      <c r="F241" s="164" t="n"/>
      <c r="G241" s="164" t="n"/>
      <c r="H241" s="164" t="n"/>
      <c r="I241" s="164" t="n"/>
      <c r="J241" s="164" t="n"/>
      <c r="K241" s="164" t="n"/>
      <c r="L241" s="164" t="n"/>
      <c r="M241" s="164" t="n"/>
    </row>
    <row r="242">
      <c r="A242" s="164" t="n"/>
      <c r="B242" s="164" t="n"/>
      <c r="C242" s="164" t="n"/>
      <c r="D242" s="164" t="n"/>
      <c r="E242" s="164" t="n"/>
      <c r="F242" s="164" t="n"/>
      <c r="G242" s="164" t="n"/>
      <c r="H242" s="164" t="n"/>
      <c r="I242" s="164" t="n"/>
      <c r="J242" s="164" t="n"/>
      <c r="K242" s="164" t="n"/>
      <c r="L242" s="164" t="n"/>
      <c r="M242" s="164" t="n"/>
    </row>
    <row r="243">
      <c r="A243" s="164" t="n"/>
      <c r="B243" s="164" t="n"/>
      <c r="C243" s="164" t="n"/>
      <c r="D243" s="164" t="n"/>
      <c r="E243" s="164" t="n"/>
      <c r="F243" s="164" t="n"/>
      <c r="G243" s="164" t="n"/>
      <c r="H243" s="164" t="n"/>
      <c r="I243" s="164" t="n"/>
      <c r="J243" s="164" t="n"/>
      <c r="K243" s="164" t="n"/>
      <c r="L243" s="164" t="n"/>
      <c r="M243" s="164" t="n"/>
    </row>
    <row r="244">
      <c r="A244" s="164" t="n"/>
      <c r="B244" s="164" t="n"/>
      <c r="C244" s="164" t="n"/>
      <c r="D244" s="164" t="n"/>
      <c r="E244" s="164" t="n"/>
      <c r="F244" s="164" t="n"/>
      <c r="G244" s="164" t="n"/>
      <c r="H244" s="164" t="n"/>
      <c r="I244" s="164" t="n"/>
      <c r="J244" s="164" t="n"/>
      <c r="K244" s="164" t="n"/>
      <c r="L244" s="164" t="n"/>
      <c r="M244" s="164" t="n"/>
    </row>
    <row r="245">
      <c r="A245" s="164" t="n"/>
      <c r="B245" s="164" t="n"/>
      <c r="C245" s="164" t="n"/>
      <c r="D245" s="164" t="n"/>
      <c r="E245" s="164" t="n"/>
      <c r="F245" s="164" t="n"/>
      <c r="G245" s="164" t="n"/>
      <c r="H245" s="164" t="n"/>
      <c r="I245" s="164" t="n"/>
      <c r="J245" s="164" t="n"/>
      <c r="K245" s="164" t="n"/>
      <c r="L245" s="164" t="n"/>
      <c r="M245" s="164" t="n"/>
    </row>
    <row r="246">
      <c r="A246" s="164" t="n"/>
      <c r="B246" s="164" t="n"/>
      <c r="C246" s="164" t="n"/>
      <c r="D246" s="164" t="n"/>
      <c r="E246" s="164" t="n"/>
      <c r="F246" s="164" t="n"/>
      <c r="G246" s="164" t="n"/>
      <c r="H246" s="164" t="n"/>
      <c r="I246" s="164" t="n"/>
      <c r="J246" s="164" t="n"/>
      <c r="K246" s="164" t="n"/>
      <c r="L246" s="164" t="n"/>
      <c r="M246" s="164" t="n"/>
    </row>
    <row r="247">
      <c r="A247" s="164" t="n"/>
      <c r="B247" s="164" t="n"/>
      <c r="C247" s="164" t="n"/>
      <c r="D247" s="164" t="n"/>
      <c r="E247" s="164" t="n"/>
      <c r="F247" s="164" t="n"/>
      <c r="G247" s="164" t="n"/>
      <c r="H247" s="164" t="n"/>
      <c r="I247" s="164" t="n"/>
      <c r="J247" s="164" t="n"/>
      <c r="K247" s="164" t="n"/>
      <c r="L247" s="164" t="n"/>
      <c r="M247" s="164" t="n"/>
    </row>
    <row r="248">
      <c r="A248" s="164" t="n"/>
      <c r="B248" s="164" t="n"/>
      <c r="C248" s="164" t="n"/>
      <c r="D248" s="164" t="n"/>
      <c r="E248" s="164" t="n"/>
      <c r="F248" s="164" t="n"/>
      <c r="G248" s="164" t="n"/>
      <c r="H248" s="164" t="n"/>
      <c r="I248" s="164" t="n"/>
      <c r="J248" s="164" t="n"/>
      <c r="K248" s="164" t="n"/>
      <c r="L248" s="164" t="n"/>
      <c r="M248" s="164" t="n"/>
    </row>
    <row r="249">
      <c r="A249" s="164" t="n"/>
      <c r="B249" s="164" t="n"/>
      <c r="C249" s="164" t="n"/>
      <c r="D249" s="164" t="n"/>
      <c r="E249" s="164" t="n"/>
      <c r="F249" s="164" t="n"/>
      <c r="G249" s="164" t="n"/>
      <c r="H249" s="164" t="n"/>
      <c r="I249" s="164" t="n"/>
      <c r="J249" s="164" t="n"/>
      <c r="K249" s="164" t="n"/>
      <c r="L249" s="164" t="n"/>
      <c r="M249" s="164" t="n"/>
    </row>
    <row r="250">
      <c r="A250" s="164" t="n"/>
      <c r="B250" s="164" t="n"/>
      <c r="C250" s="164" t="n"/>
      <c r="D250" s="164" t="n"/>
      <c r="E250" s="164" t="n"/>
      <c r="F250" s="164" t="n"/>
      <c r="G250" s="164" t="n"/>
      <c r="H250" s="164" t="n"/>
      <c r="I250" s="164" t="n"/>
      <c r="J250" s="164" t="n"/>
      <c r="K250" s="164" t="n"/>
      <c r="L250" s="164" t="n"/>
      <c r="M250" s="164" t="n"/>
    </row>
    <row r="251">
      <c r="A251" s="164" t="n"/>
      <c r="B251" s="164" t="n"/>
      <c r="C251" s="164" t="n"/>
      <c r="D251" s="164" t="n"/>
      <c r="E251" s="164" t="n"/>
      <c r="F251" s="164" t="n"/>
      <c r="G251" s="164" t="n"/>
      <c r="H251" s="164" t="n"/>
      <c r="I251" s="164" t="n"/>
      <c r="J251" s="164" t="n"/>
      <c r="K251" s="164" t="n"/>
      <c r="L251" s="164" t="n"/>
      <c r="M251" s="164" t="n"/>
    </row>
    <row r="252">
      <c r="A252" s="164" t="n"/>
      <c r="B252" s="164" t="n"/>
      <c r="C252" s="164" t="n"/>
      <c r="D252" s="164" t="n"/>
      <c r="E252" s="164" t="n"/>
      <c r="F252" s="164" t="n"/>
      <c r="G252" s="164" t="n"/>
      <c r="H252" s="164" t="n"/>
      <c r="I252" s="164" t="n"/>
      <c r="J252" s="164" t="n"/>
      <c r="K252" s="164" t="n"/>
      <c r="L252" s="164" t="n"/>
      <c r="M252" s="164" t="n"/>
    </row>
    <row r="253">
      <c r="A253" s="164" t="n"/>
      <c r="B253" s="164" t="n"/>
      <c r="C253" s="164" t="n"/>
      <c r="D253" s="164" t="n"/>
      <c r="E253" s="164" t="n"/>
      <c r="F253" s="164" t="n"/>
      <c r="G253" s="164" t="n"/>
      <c r="H253" s="164" t="n"/>
      <c r="I253" s="164" t="n"/>
      <c r="J253" s="164" t="n"/>
      <c r="K253" s="164" t="n"/>
      <c r="L253" s="164" t="n"/>
      <c r="M253" s="164" t="n"/>
    </row>
    <row r="254">
      <c r="A254" s="164" t="n"/>
      <c r="B254" s="164" t="n"/>
      <c r="C254" s="164" t="n"/>
      <c r="D254" s="164" t="n"/>
      <c r="E254" s="164" t="n"/>
      <c r="F254" s="164" t="n"/>
      <c r="G254" s="164" t="n"/>
      <c r="H254" s="164" t="n"/>
      <c r="I254" s="164" t="n"/>
      <c r="J254" s="164" t="n"/>
      <c r="K254" s="164" t="n"/>
      <c r="L254" s="164" t="n"/>
      <c r="M254" s="164" t="n"/>
    </row>
    <row r="255">
      <c r="A255" s="164" t="n"/>
      <c r="B255" s="164" t="n"/>
      <c r="C255" s="164" t="n"/>
      <c r="D255" s="164" t="n"/>
      <c r="E255" s="164" t="n"/>
      <c r="F255" s="164" t="n"/>
      <c r="G255" s="164" t="n"/>
      <c r="H255" s="164" t="n"/>
      <c r="I255" s="164" t="n"/>
      <c r="J255" s="164" t="n"/>
      <c r="K255" s="164" t="n"/>
      <c r="L255" s="164" t="n"/>
      <c r="M255" s="164" t="n"/>
    </row>
    <row r="256">
      <c r="A256" s="164" t="n"/>
      <c r="B256" s="164" t="n"/>
      <c r="C256" s="164" t="n"/>
      <c r="D256" s="164" t="n"/>
      <c r="E256" s="164" t="n"/>
      <c r="F256" s="164" t="n"/>
      <c r="G256" s="164" t="n"/>
      <c r="H256" s="164" t="n"/>
      <c r="I256" s="164" t="n"/>
      <c r="J256" s="164" t="n"/>
      <c r="K256" s="164" t="n"/>
      <c r="L256" s="164" t="n"/>
      <c r="M256" s="164" t="n"/>
    </row>
    <row r="257">
      <c r="A257" s="164" t="n"/>
      <c r="B257" s="164" t="n"/>
      <c r="C257" s="164" t="n"/>
      <c r="D257" s="164" t="n"/>
      <c r="E257" s="164" t="n"/>
      <c r="F257" s="164" t="n"/>
      <c r="G257" s="164" t="n"/>
      <c r="H257" s="164" t="n"/>
      <c r="I257" s="164" t="n"/>
      <c r="J257" s="164" t="n"/>
      <c r="K257" s="164" t="n"/>
      <c r="L257" s="164" t="n"/>
      <c r="M257" s="164" t="n"/>
    </row>
    <row r="258">
      <c r="A258" s="164" t="n"/>
      <c r="B258" s="164" t="n"/>
      <c r="C258" s="164" t="n"/>
      <c r="D258" s="164" t="n"/>
      <c r="E258" s="164" t="n"/>
      <c r="F258" s="164" t="n"/>
      <c r="G258" s="164" t="n"/>
      <c r="H258" s="164" t="n"/>
      <c r="I258" s="164" t="n"/>
      <c r="J258" s="164" t="n"/>
      <c r="K258" s="164" t="n"/>
      <c r="L258" s="164" t="n"/>
      <c r="M258" s="164" t="n"/>
    </row>
    <row r="259">
      <c r="A259" s="164" t="n"/>
      <c r="B259" s="164" t="n"/>
      <c r="C259" s="164" t="n"/>
      <c r="D259" s="164" t="n"/>
      <c r="E259" s="164" t="n"/>
      <c r="F259" s="164" t="n"/>
      <c r="G259" s="164" t="n"/>
      <c r="H259" s="164" t="n"/>
      <c r="I259" s="164" t="n"/>
      <c r="J259" s="164" t="n"/>
      <c r="K259" s="164" t="n"/>
      <c r="L259" s="164" t="n"/>
      <c r="M259" s="164" t="n"/>
    </row>
    <row r="260">
      <c r="A260" s="164" t="n"/>
      <c r="B260" s="164" t="n"/>
      <c r="C260" s="164" t="n"/>
      <c r="D260" s="164" t="n"/>
      <c r="E260" s="164" t="n"/>
      <c r="F260" s="164" t="n"/>
      <c r="G260" s="164" t="n"/>
      <c r="H260" s="164" t="n"/>
      <c r="I260" s="164" t="n"/>
      <c r="J260" s="164" t="n"/>
      <c r="K260" s="164" t="n"/>
      <c r="L260" s="164" t="n"/>
      <c r="M260" s="164" t="n"/>
    </row>
    <row r="261">
      <c r="A261" s="164" t="n"/>
      <c r="B261" s="164" t="n"/>
      <c r="C261" s="164" t="n"/>
      <c r="D261" s="164" t="n"/>
      <c r="E261" s="164" t="n"/>
      <c r="F261" s="164" t="n"/>
      <c r="G261" s="164" t="n"/>
      <c r="H261" s="164" t="n"/>
      <c r="I261" s="164" t="n"/>
      <c r="J261" s="164" t="n"/>
      <c r="K261" s="164" t="n"/>
      <c r="L261" s="164" t="n"/>
      <c r="M261" s="164" t="n"/>
    </row>
    <row r="262">
      <c r="A262" s="164" t="n"/>
      <c r="B262" s="164" t="n"/>
      <c r="C262" s="164" t="n"/>
      <c r="D262" s="164" t="n"/>
      <c r="E262" s="164" t="n"/>
      <c r="F262" s="164" t="n"/>
      <c r="G262" s="164" t="n"/>
      <c r="H262" s="164" t="n"/>
      <c r="I262" s="164" t="n"/>
      <c r="J262" s="164" t="n"/>
      <c r="K262" s="164" t="n"/>
      <c r="L262" s="164" t="n"/>
      <c r="M262" s="164" t="n"/>
    </row>
    <row r="263">
      <c r="A263" s="164" t="n"/>
      <c r="B263" s="164" t="n"/>
      <c r="C263" s="164" t="n"/>
      <c r="D263" s="164" t="n"/>
      <c r="E263" s="164" t="n"/>
      <c r="F263" s="164" t="n"/>
      <c r="G263" s="164" t="n"/>
      <c r="H263" s="164" t="n"/>
      <c r="I263" s="164" t="n"/>
      <c r="J263" s="164" t="n"/>
      <c r="K263" s="164" t="n"/>
      <c r="L263" s="164" t="n"/>
      <c r="M263" s="164" t="n"/>
    </row>
    <row r="264">
      <c r="A264" s="164" t="n"/>
      <c r="B264" s="164" t="n"/>
      <c r="C264" s="164" t="n"/>
      <c r="D264" s="164" t="n"/>
      <c r="E264" s="164" t="n"/>
      <c r="F264" s="164" t="n"/>
      <c r="G264" s="164" t="n"/>
      <c r="H264" s="164" t="n"/>
      <c r="I264" s="164" t="n"/>
      <c r="J264" s="164" t="n"/>
      <c r="K264" s="164" t="n"/>
      <c r="L264" s="164" t="n"/>
      <c r="M264" s="164" t="n"/>
    </row>
    <row r="265">
      <c r="A265" s="164" t="n"/>
      <c r="B265" s="164" t="n"/>
      <c r="C265" s="164" t="n"/>
      <c r="D265" s="164" t="n"/>
      <c r="E265" s="164" t="n"/>
      <c r="F265" s="164" t="n"/>
      <c r="G265" s="164" t="n"/>
      <c r="H265" s="164" t="n"/>
      <c r="I265" s="164" t="n"/>
      <c r="J265" s="164" t="n"/>
      <c r="K265" s="164" t="n"/>
      <c r="L265" s="164" t="n"/>
      <c r="M265" s="164" t="n"/>
    </row>
    <row r="266">
      <c r="A266" s="164" t="n"/>
      <c r="B266" s="164" t="n"/>
      <c r="C266" s="164" t="n"/>
      <c r="D266" s="164" t="n"/>
      <c r="E266" s="164" t="n"/>
      <c r="F266" s="164" t="n"/>
      <c r="G266" s="164" t="n"/>
      <c r="H266" s="164" t="n"/>
      <c r="I266" s="164" t="n"/>
      <c r="J266" s="164" t="n"/>
      <c r="K266" s="164" t="n"/>
      <c r="L266" s="164" t="n"/>
      <c r="M266" s="164" t="n"/>
    </row>
    <row r="267">
      <c r="A267" s="164" t="n"/>
      <c r="B267" s="164" t="n"/>
      <c r="C267" s="164" t="n"/>
      <c r="D267" s="164" t="n"/>
      <c r="E267" s="164" t="n"/>
      <c r="F267" s="164" t="n"/>
      <c r="G267" s="164" t="n"/>
      <c r="H267" s="164" t="n"/>
      <c r="I267" s="164" t="n"/>
      <c r="J267" s="164" t="n"/>
      <c r="K267" s="164" t="n"/>
      <c r="L267" s="164" t="n"/>
      <c r="M267" s="164" t="n"/>
    </row>
    <row r="268">
      <c r="A268" s="164" t="n"/>
      <c r="B268" s="164" t="n"/>
      <c r="C268" s="164" t="n"/>
      <c r="D268" s="164" t="n"/>
      <c r="E268" s="164" t="n"/>
      <c r="F268" s="164" t="n"/>
      <c r="G268" s="164" t="n"/>
      <c r="H268" s="164" t="n"/>
      <c r="I268" s="164" t="n"/>
      <c r="J268" s="164" t="n"/>
      <c r="K268" s="164" t="n"/>
      <c r="L268" s="164" t="n"/>
      <c r="M268" s="164" t="n"/>
    </row>
    <row r="269">
      <c r="A269" s="164" t="n"/>
      <c r="B269" s="164" t="n"/>
      <c r="C269" s="164" t="n"/>
      <c r="D269" s="164" t="n"/>
      <c r="E269" s="164" t="n"/>
      <c r="F269" s="164" t="n"/>
      <c r="G269" s="164" t="n"/>
      <c r="H269" s="164" t="n"/>
      <c r="I269" s="164" t="n"/>
      <c r="J269" s="164" t="n"/>
      <c r="K269" s="164" t="n"/>
      <c r="L269" s="164" t="n"/>
      <c r="M269" s="164" t="n"/>
    </row>
    <row r="270">
      <c r="A270" s="164" t="n"/>
      <c r="B270" s="164" t="n"/>
      <c r="C270" s="164" t="n"/>
      <c r="D270" s="164" t="n"/>
      <c r="E270" s="164" t="n"/>
      <c r="F270" s="164" t="n"/>
      <c r="G270" s="164" t="n"/>
      <c r="H270" s="164" t="n"/>
      <c r="I270" s="164" t="n"/>
      <c r="J270" s="164" t="n"/>
      <c r="K270" s="164" t="n"/>
      <c r="L270" s="164" t="n"/>
      <c r="M270" s="164" t="n"/>
    </row>
    <row r="271">
      <c r="A271" s="164" t="n"/>
      <c r="B271" s="164" t="n"/>
      <c r="C271" s="164" t="n"/>
      <c r="D271" s="164" t="n"/>
      <c r="E271" s="164" t="n"/>
      <c r="F271" s="164" t="n"/>
      <c r="G271" s="164" t="n"/>
      <c r="H271" s="164" t="n"/>
      <c r="I271" s="164" t="n"/>
      <c r="J271" s="164" t="n"/>
      <c r="K271" s="164" t="n"/>
      <c r="L271" s="164" t="n"/>
      <c r="M271" s="164" t="n"/>
    </row>
    <row r="272">
      <c r="A272" s="164" t="n"/>
      <c r="B272" s="164" t="n"/>
      <c r="C272" s="164" t="n"/>
      <c r="D272" s="164" t="n"/>
      <c r="E272" s="164" t="n"/>
      <c r="F272" s="164" t="n"/>
      <c r="G272" s="164" t="n"/>
      <c r="H272" s="164" t="n"/>
      <c r="I272" s="164" t="n"/>
      <c r="J272" s="164" t="n"/>
      <c r="K272" s="164" t="n"/>
      <c r="L272" s="164" t="n"/>
      <c r="M272" s="164" t="n"/>
    </row>
    <row r="273">
      <c r="A273" s="164" t="n"/>
      <c r="B273" s="164" t="n"/>
      <c r="C273" s="164" t="n"/>
      <c r="D273" s="164" t="n"/>
      <c r="E273" s="164" t="n"/>
      <c r="F273" s="164" t="n"/>
      <c r="G273" s="164" t="n"/>
      <c r="H273" s="164" t="n"/>
      <c r="I273" s="164" t="n"/>
      <c r="J273" s="164" t="n"/>
      <c r="K273" s="164" t="n"/>
      <c r="L273" s="164" t="n"/>
      <c r="M273" s="164" t="n"/>
    </row>
    <row r="274">
      <c r="A274" s="164" t="n"/>
      <c r="B274" s="164" t="n"/>
      <c r="C274" s="164" t="n"/>
      <c r="D274" s="164" t="n"/>
      <c r="E274" s="164" t="n"/>
      <c r="F274" s="164" t="n"/>
      <c r="G274" s="164" t="n"/>
      <c r="H274" s="164" t="n"/>
      <c r="I274" s="164" t="n"/>
      <c r="J274" s="164" t="n"/>
      <c r="K274" s="164" t="n"/>
      <c r="L274" s="164" t="n"/>
      <c r="M274" s="164" t="n"/>
    </row>
    <row r="275">
      <c r="A275" s="164" t="n"/>
      <c r="B275" s="164" t="n"/>
      <c r="C275" s="164" t="n"/>
      <c r="D275" s="164" t="n"/>
      <c r="E275" s="164" t="n"/>
      <c r="F275" s="164" t="n"/>
      <c r="G275" s="164" t="n"/>
      <c r="H275" s="164" t="n"/>
      <c r="I275" s="164" t="n"/>
      <c r="J275" s="164" t="n"/>
      <c r="K275" s="164" t="n"/>
      <c r="L275" s="164" t="n"/>
      <c r="M275" s="164" t="n"/>
    </row>
    <row r="276">
      <c r="A276" s="164" t="n"/>
      <c r="B276" s="164" t="n"/>
      <c r="C276" s="164" t="n"/>
      <c r="D276" s="164" t="n"/>
      <c r="E276" s="164" t="n"/>
      <c r="F276" s="164" t="n"/>
      <c r="G276" s="164" t="n"/>
      <c r="H276" s="164" t="n"/>
      <c r="I276" s="164" t="n"/>
      <c r="J276" s="164" t="n"/>
      <c r="K276" s="164" t="n"/>
      <c r="L276" s="164" t="n"/>
      <c r="M276" s="164" t="n"/>
    </row>
    <row r="277">
      <c r="A277" s="164" t="n"/>
      <c r="B277" s="164" t="n"/>
      <c r="C277" s="164" t="n"/>
      <c r="D277" s="164" t="n"/>
      <c r="E277" s="164" t="n"/>
      <c r="F277" s="164" t="n"/>
      <c r="G277" s="164" t="n"/>
      <c r="H277" s="164" t="n"/>
      <c r="I277" s="164" t="n"/>
      <c r="J277" s="164" t="n"/>
      <c r="K277" s="164" t="n"/>
      <c r="L277" s="164" t="n"/>
      <c r="M277" s="164" t="n"/>
    </row>
    <row r="278">
      <c r="A278" s="164" t="n"/>
      <c r="B278" s="164" t="n"/>
      <c r="C278" s="164" t="n"/>
      <c r="D278" s="164" t="n"/>
      <c r="E278" s="164" t="n"/>
      <c r="F278" s="164" t="n"/>
      <c r="G278" s="164" t="n"/>
      <c r="H278" s="164" t="n"/>
      <c r="I278" s="164" t="n"/>
      <c r="J278" s="164" t="n"/>
      <c r="K278" s="164" t="n"/>
      <c r="L278" s="164" t="n"/>
      <c r="M278" s="164" t="n"/>
    </row>
    <row r="279">
      <c r="A279" s="164" t="n"/>
      <c r="B279" s="164" t="n"/>
      <c r="C279" s="164" t="n"/>
      <c r="D279" s="164" t="n"/>
      <c r="E279" s="164" t="n"/>
      <c r="F279" s="164" t="n"/>
      <c r="G279" s="164" t="n"/>
      <c r="H279" s="164" t="n"/>
      <c r="I279" s="164" t="n"/>
      <c r="J279" s="164" t="n"/>
      <c r="K279" s="164" t="n"/>
      <c r="L279" s="164" t="n"/>
      <c r="M279" s="164" t="n"/>
    </row>
    <row r="280">
      <c r="A280" s="164" t="n"/>
      <c r="B280" s="164" t="n"/>
      <c r="C280" s="164" t="n"/>
      <c r="D280" s="164" t="n"/>
      <c r="E280" s="164" t="n"/>
      <c r="F280" s="164" t="n"/>
      <c r="G280" s="164" t="n"/>
      <c r="H280" s="164" t="n"/>
      <c r="I280" s="164" t="n"/>
      <c r="J280" s="164" t="n"/>
      <c r="K280" s="164" t="n"/>
      <c r="L280" s="164" t="n"/>
      <c r="M280" s="164" t="n"/>
    </row>
    <row r="281">
      <c r="A281" s="164" t="n"/>
      <c r="B281" s="164" t="n"/>
      <c r="C281" s="164" t="n"/>
      <c r="D281" s="164" t="n"/>
      <c r="E281" s="164" t="n"/>
      <c r="F281" s="164" t="n"/>
      <c r="G281" s="164" t="n"/>
      <c r="H281" s="164" t="n"/>
      <c r="I281" s="164" t="n"/>
      <c r="J281" s="164" t="n"/>
      <c r="K281" s="164" t="n"/>
      <c r="L281" s="164" t="n"/>
      <c r="M281" s="164" t="n"/>
    </row>
    <row r="282">
      <c r="A282" s="164" t="n"/>
      <c r="B282" s="164" t="n"/>
      <c r="C282" s="164" t="n"/>
      <c r="D282" s="164" t="n"/>
      <c r="E282" s="164" t="n"/>
      <c r="F282" s="164" t="n"/>
      <c r="G282" s="164" t="n"/>
      <c r="H282" s="164" t="n"/>
      <c r="I282" s="164" t="n"/>
      <c r="J282" s="164" t="n"/>
      <c r="K282" s="164" t="n"/>
      <c r="L282" s="164" t="n"/>
      <c r="M282" s="164" t="n"/>
    </row>
    <row r="283">
      <c r="A283" s="164" t="n"/>
      <c r="B283" s="164" t="n"/>
      <c r="C283" s="164" t="n"/>
      <c r="D283" s="164" t="n"/>
      <c r="E283" s="164" t="n"/>
      <c r="F283" s="164" t="n"/>
      <c r="G283" s="164" t="n"/>
      <c r="H283" s="164" t="n"/>
      <c r="I283" s="164" t="n"/>
      <c r="J283" s="164" t="n"/>
      <c r="K283" s="164" t="n"/>
      <c r="L283" s="164" t="n"/>
      <c r="M283" s="164" t="n"/>
    </row>
    <row r="284">
      <c r="A284" s="164" t="n"/>
      <c r="B284" s="164" t="n"/>
      <c r="C284" s="164" t="n"/>
      <c r="D284" s="164" t="n"/>
      <c r="E284" s="164" t="n"/>
      <c r="F284" s="164" t="n"/>
      <c r="G284" s="164" t="n"/>
      <c r="H284" s="164" t="n"/>
      <c r="I284" s="164" t="n"/>
      <c r="J284" s="164" t="n"/>
      <c r="K284" s="164" t="n"/>
      <c r="L284" s="164" t="n"/>
      <c r="M284" s="164" t="n"/>
    </row>
    <row r="285">
      <c r="A285" s="164" t="n"/>
      <c r="B285" s="164" t="n"/>
      <c r="C285" s="164" t="n"/>
      <c r="D285" s="164" t="n"/>
      <c r="E285" s="164" t="n"/>
      <c r="F285" s="164" t="n"/>
      <c r="G285" s="164" t="n"/>
      <c r="H285" s="164" t="n"/>
      <c r="I285" s="164" t="n"/>
      <c r="J285" s="164" t="n"/>
      <c r="K285" s="164" t="n"/>
      <c r="L285" s="164" t="n"/>
      <c r="M285" s="164" t="n"/>
    </row>
    <row r="286">
      <c r="A286" s="164" t="n"/>
      <c r="B286" s="164" t="n"/>
      <c r="C286" s="164" t="n"/>
      <c r="D286" s="164" t="n"/>
      <c r="E286" s="164" t="n"/>
      <c r="F286" s="164" t="n"/>
      <c r="G286" s="164" t="n"/>
      <c r="H286" s="164" t="n"/>
      <c r="I286" s="164" t="n"/>
      <c r="J286" s="164" t="n"/>
      <c r="K286" s="164" t="n"/>
      <c r="L286" s="164" t="n"/>
      <c r="M286" s="164" t="n"/>
    </row>
    <row r="287">
      <c r="A287" s="164" t="n"/>
      <c r="B287" s="164" t="n"/>
      <c r="C287" s="164" t="n"/>
      <c r="D287" s="164" t="n"/>
      <c r="E287" s="164" t="n"/>
      <c r="F287" s="164" t="n"/>
      <c r="G287" s="164" t="n"/>
      <c r="H287" s="164" t="n"/>
      <c r="I287" s="164" t="n"/>
      <c r="J287" s="164" t="n"/>
      <c r="K287" s="164" t="n"/>
      <c r="L287" s="164" t="n"/>
      <c r="M287" s="164" t="n"/>
    </row>
    <row r="288">
      <c r="A288" s="164" t="n"/>
      <c r="B288" s="164" t="n"/>
      <c r="C288" s="164" t="n"/>
      <c r="D288" s="164" t="n"/>
      <c r="E288" s="164" t="n"/>
      <c r="F288" s="164" t="n"/>
      <c r="G288" s="164" t="n"/>
      <c r="H288" s="164" t="n"/>
      <c r="I288" s="164" t="n"/>
      <c r="J288" s="164" t="n"/>
      <c r="K288" s="164" t="n"/>
      <c r="L288" s="164" t="n"/>
      <c r="M288" s="164" t="n"/>
    </row>
    <row r="289">
      <c r="A289" s="164" t="n"/>
      <c r="B289" s="164" t="n"/>
      <c r="C289" s="164" t="n"/>
      <c r="D289" s="164" t="n"/>
      <c r="E289" s="164" t="n"/>
      <c r="F289" s="164" t="n"/>
      <c r="G289" s="164" t="n"/>
      <c r="H289" s="164" t="n"/>
      <c r="I289" s="164" t="n"/>
      <c r="J289" s="164" t="n"/>
      <c r="K289" s="164" t="n"/>
      <c r="L289" s="164" t="n"/>
      <c r="M289" s="164" t="n"/>
    </row>
    <row r="290">
      <c r="A290" s="164" t="n"/>
      <c r="B290" s="164" t="n"/>
      <c r="C290" s="164" t="n"/>
      <c r="D290" s="164" t="n"/>
      <c r="E290" s="164" t="n"/>
      <c r="F290" s="164" t="n"/>
      <c r="G290" s="164" t="n"/>
      <c r="H290" s="164" t="n"/>
      <c r="I290" s="164" t="n"/>
      <c r="J290" s="164" t="n"/>
      <c r="K290" s="164" t="n"/>
      <c r="L290" s="164" t="n"/>
      <c r="M290" s="164" t="n"/>
    </row>
    <row r="291">
      <c r="A291" s="164" t="n"/>
      <c r="B291" s="164" t="n"/>
      <c r="C291" s="164" t="n"/>
      <c r="D291" s="164" t="n"/>
      <c r="E291" s="164" t="n"/>
      <c r="F291" s="164" t="n"/>
      <c r="G291" s="164" t="n"/>
      <c r="H291" s="164" t="n"/>
      <c r="I291" s="164" t="n"/>
      <c r="J291" s="164" t="n"/>
      <c r="K291" s="164" t="n"/>
      <c r="L291" s="164" t="n"/>
      <c r="M291" s="164" t="n"/>
    </row>
    <row r="292">
      <c r="A292" s="164" t="n"/>
      <c r="B292" s="164" t="n"/>
      <c r="C292" s="164" t="n"/>
      <c r="D292" s="164" t="n"/>
      <c r="E292" s="164" t="n"/>
      <c r="F292" s="164" t="n"/>
      <c r="G292" s="164" t="n"/>
      <c r="H292" s="164" t="n"/>
      <c r="I292" s="164" t="n"/>
      <c r="J292" s="164" t="n"/>
      <c r="K292" s="164" t="n"/>
      <c r="L292" s="164" t="n"/>
      <c r="M292" s="164" t="n"/>
    </row>
    <row r="293">
      <c r="A293" s="164" t="n"/>
      <c r="B293" s="164" t="n"/>
      <c r="C293" s="164" t="n"/>
      <c r="D293" s="164" t="n"/>
      <c r="E293" s="164" t="n"/>
      <c r="F293" s="164" t="n"/>
      <c r="G293" s="164" t="n"/>
      <c r="H293" s="164" t="n"/>
      <c r="I293" s="164" t="n"/>
      <c r="J293" s="164" t="n"/>
      <c r="K293" s="164" t="n"/>
      <c r="L293" s="164" t="n"/>
      <c r="M293" s="164" t="n"/>
    </row>
    <row r="294">
      <c r="A294" s="164" t="n"/>
      <c r="B294" s="164" t="n"/>
      <c r="C294" s="164" t="n"/>
      <c r="D294" s="164" t="n"/>
      <c r="E294" s="164" t="n"/>
      <c r="F294" s="164" t="n"/>
      <c r="G294" s="164" t="n"/>
      <c r="H294" s="164" t="n"/>
      <c r="I294" s="164" t="n"/>
      <c r="J294" s="164" t="n"/>
      <c r="K294" s="164" t="n"/>
      <c r="L294" s="164" t="n"/>
      <c r="M294" s="164" t="n"/>
    </row>
    <row r="295">
      <c r="A295" s="164" t="n"/>
      <c r="B295" s="164" t="n"/>
      <c r="C295" s="164" t="n"/>
      <c r="D295" s="164" t="n"/>
      <c r="E295" s="164" t="n"/>
      <c r="F295" s="164" t="n"/>
      <c r="G295" s="164" t="n"/>
      <c r="H295" s="164" t="n"/>
      <c r="I295" s="164" t="n"/>
      <c r="J295" s="164" t="n"/>
      <c r="K295" s="164" t="n"/>
      <c r="L295" s="164" t="n"/>
      <c r="M295" s="164" t="n"/>
    </row>
    <row r="296">
      <c r="A296" s="164" t="n"/>
      <c r="B296" s="164" t="n"/>
      <c r="C296" s="164" t="n"/>
      <c r="D296" s="164" t="n"/>
      <c r="E296" s="164" t="n"/>
      <c r="F296" s="164" t="n"/>
      <c r="G296" s="164" t="n"/>
      <c r="H296" s="164" t="n"/>
      <c r="I296" s="164" t="n"/>
      <c r="J296" s="164" t="n"/>
      <c r="K296" s="164" t="n"/>
      <c r="L296" s="164" t="n"/>
      <c r="M296" s="164" t="n"/>
    </row>
    <row r="297">
      <c r="A297" s="164" t="n"/>
      <c r="B297" s="164" t="n"/>
      <c r="C297" s="164" t="n"/>
      <c r="D297" s="164" t="n"/>
      <c r="E297" s="164" t="n"/>
      <c r="F297" s="164" t="n"/>
      <c r="G297" s="164" t="n"/>
      <c r="H297" s="164" t="n"/>
      <c r="I297" s="164" t="n"/>
      <c r="J297" s="164" t="n"/>
      <c r="K297" s="164" t="n"/>
      <c r="L297" s="164" t="n"/>
      <c r="M297" s="164" t="n"/>
    </row>
    <row r="298">
      <c r="A298" s="164" t="n"/>
      <c r="B298" s="164" t="n"/>
      <c r="C298" s="164" t="n"/>
      <c r="D298" s="164" t="n"/>
      <c r="E298" s="164" t="n"/>
      <c r="F298" s="164" t="n"/>
      <c r="G298" s="164" t="n"/>
      <c r="H298" s="164" t="n"/>
      <c r="I298" s="164" t="n"/>
      <c r="J298" s="164" t="n"/>
      <c r="K298" s="164" t="n"/>
      <c r="L298" s="164" t="n"/>
      <c r="M298" s="164" t="n"/>
    </row>
    <row r="299">
      <c r="A299" s="164" t="n"/>
      <c r="B299" s="164" t="n"/>
      <c r="C299" s="164" t="n"/>
      <c r="D299" s="164" t="n"/>
      <c r="E299" s="164" t="n"/>
      <c r="F299" s="164" t="n"/>
      <c r="G299" s="164" t="n"/>
      <c r="H299" s="164" t="n"/>
      <c r="I299" s="164" t="n"/>
      <c r="J299" s="164" t="n"/>
      <c r="K299" s="164" t="n"/>
      <c r="L299" s="164" t="n"/>
      <c r="M299" s="164" t="n"/>
    </row>
    <row r="300">
      <c r="A300" s="164" t="n"/>
      <c r="B300" s="164" t="n"/>
      <c r="C300" s="164" t="n"/>
      <c r="D300" s="164" t="n"/>
      <c r="E300" s="164" t="n"/>
      <c r="F300" s="164" t="n"/>
      <c r="G300" s="164" t="n"/>
      <c r="H300" s="164" t="n"/>
      <c r="I300" s="164" t="n"/>
      <c r="J300" s="164" t="n"/>
      <c r="K300" s="164" t="n"/>
      <c r="L300" s="164" t="n"/>
      <c r="M300" s="164" t="n"/>
    </row>
    <row r="301">
      <c r="A301" s="164" t="n"/>
      <c r="B301" s="164" t="n"/>
      <c r="C301" s="164" t="n"/>
      <c r="D301" s="164" t="n"/>
      <c r="E301" s="164" t="n"/>
      <c r="F301" s="164" t="n"/>
      <c r="G301" s="164" t="n"/>
      <c r="H301" s="164" t="n"/>
      <c r="I301" s="164" t="n"/>
      <c r="J301" s="164" t="n"/>
      <c r="K301" s="164" t="n"/>
      <c r="L301" s="164" t="n"/>
      <c r="M301" s="164" t="n"/>
    </row>
    <row r="302">
      <c r="A302" s="164" t="n"/>
      <c r="B302" s="164" t="n"/>
      <c r="C302" s="164" t="n"/>
      <c r="D302" s="164" t="n"/>
      <c r="E302" s="164" t="n"/>
      <c r="F302" s="164" t="n"/>
      <c r="G302" s="164" t="n"/>
      <c r="H302" s="164" t="n"/>
      <c r="I302" s="164" t="n"/>
      <c r="J302" s="164" t="n"/>
      <c r="K302" s="164" t="n"/>
      <c r="L302" s="164" t="n"/>
      <c r="M302" s="164" t="n"/>
    </row>
    <row r="303">
      <c r="A303" s="164" t="n"/>
      <c r="B303" s="164" t="n"/>
      <c r="C303" s="164" t="n"/>
      <c r="D303" s="164" t="n"/>
      <c r="E303" s="164" t="n"/>
      <c r="F303" s="164" t="n"/>
      <c r="G303" s="164" t="n"/>
      <c r="H303" s="164" t="n"/>
      <c r="I303" s="164" t="n"/>
      <c r="J303" s="164" t="n"/>
      <c r="K303" s="164" t="n"/>
      <c r="L303" s="164" t="n"/>
      <c r="M303" s="164" t="n"/>
    </row>
    <row r="304">
      <c r="A304" s="164" t="n"/>
      <c r="B304" s="164" t="n"/>
      <c r="C304" s="164" t="n"/>
      <c r="D304" s="164" t="n"/>
      <c r="E304" s="164" t="n"/>
      <c r="F304" s="164" t="n"/>
      <c r="G304" s="164" t="n"/>
      <c r="H304" s="164" t="n"/>
      <c r="I304" s="164" t="n"/>
      <c r="J304" s="164" t="n"/>
      <c r="K304" s="164" t="n"/>
      <c r="L304" s="164" t="n"/>
      <c r="M304" s="164" t="n"/>
    </row>
    <row r="305">
      <c r="A305" s="164" t="n"/>
      <c r="B305" s="164" t="n"/>
      <c r="C305" s="164" t="n"/>
      <c r="D305" s="164" t="n"/>
      <c r="E305" s="164" t="n"/>
      <c r="F305" s="164" t="n"/>
      <c r="G305" s="164" t="n"/>
      <c r="H305" s="164" t="n"/>
      <c r="I305" s="164" t="n"/>
      <c r="J305" s="164" t="n"/>
      <c r="K305" s="164" t="n"/>
      <c r="L305" s="164" t="n"/>
      <c r="M305" s="164" t="n"/>
    </row>
    <row r="306">
      <c r="A306" s="164" t="n"/>
      <c r="B306" s="164" t="n"/>
      <c r="C306" s="164" t="n"/>
      <c r="D306" s="164" t="n"/>
      <c r="E306" s="164" t="n"/>
      <c r="F306" s="164" t="n"/>
      <c r="G306" s="164" t="n"/>
      <c r="H306" s="164" t="n"/>
      <c r="I306" s="164" t="n"/>
      <c r="J306" s="164" t="n"/>
      <c r="K306" s="164" t="n"/>
      <c r="L306" s="164" t="n"/>
      <c r="M306" s="164" t="n"/>
    </row>
    <row r="307">
      <c r="A307" s="164" t="n"/>
      <c r="B307" s="164" t="n"/>
      <c r="C307" s="164" t="n"/>
      <c r="D307" s="164" t="n"/>
      <c r="E307" s="164" t="n"/>
      <c r="F307" s="164" t="n"/>
      <c r="G307" s="164" t="n"/>
      <c r="H307" s="164" t="n"/>
      <c r="I307" s="164" t="n"/>
      <c r="J307" s="164" t="n"/>
      <c r="K307" s="164" t="n"/>
      <c r="L307" s="164" t="n"/>
      <c r="M307" s="164" t="n"/>
    </row>
    <row r="308">
      <c r="A308" s="164" t="n"/>
      <c r="B308" s="164" t="n"/>
      <c r="C308" s="164" t="n"/>
      <c r="D308" s="164" t="n"/>
      <c r="E308" s="164" t="n"/>
      <c r="F308" s="164" t="n"/>
      <c r="G308" s="164" t="n"/>
      <c r="H308" s="164" t="n"/>
      <c r="I308" s="164" t="n"/>
      <c r="J308" s="164" t="n"/>
      <c r="K308" s="164" t="n"/>
      <c r="L308" s="164" t="n"/>
      <c r="M308" s="164" t="n"/>
    </row>
    <row r="309">
      <c r="A309" s="164" t="n"/>
      <c r="B309" s="164" t="n"/>
      <c r="C309" s="164" t="n"/>
      <c r="D309" s="164" t="n"/>
      <c r="E309" s="164" t="n"/>
      <c r="F309" s="164" t="n"/>
      <c r="G309" s="164" t="n"/>
      <c r="H309" s="164" t="n"/>
      <c r="I309" s="164" t="n"/>
      <c r="J309" s="164" t="n"/>
      <c r="K309" s="164" t="n"/>
      <c r="L309" s="164" t="n"/>
      <c r="M309" s="164" t="n"/>
    </row>
    <row r="310">
      <c r="A310" s="164" t="n"/>
      <c r="B310" s="164" t="n"/>
      <c r="C310" s="164" t="n"/>
      <c r="D310" s="164" t="n"/>
      <c r="E310" s="164" t="n"/>
      <c r="F310" s="164" t="n"/>
      <c r="G310" s="164" t="n"/>
      <c r="H310" s="164" t="n"/>
      <c r="I310" s="164" t="n"/>
      <c r="J310" s="164" t="n"/>
      <c r="K310" s="164" t="n"/>
      <c r="L310" s="164" t="n"/>
      <c r="M310" s="164" t="n"/>
    </row>
    <row r="311">
      <c r="A311" s="164" t="n"/>
      <c r="B311" s="164" t="n"/>
      <c r="C311" s="164" t="n"/>
      <c r="D311" s="164" t="n"/>
      <c r="E311" s="164" t="n"/>
      <c r="F311" s="164" t="n"/>
      <c r="G311" s="164" t="n"/>
      <c r="H311" s="164" t="n"/>
      <c r="I311" s="164" t="n"/>
      <c r="J311" s="164" t="n"/>
      <c r="K311" s="164" t="n"/>
      <c r="L311" s="164" t="n"/>
      <c r="M311" s="164" t="n"/>
    </row>
    <row r="312">
      <c r="A312" s="164" t="n"/>
      <c r="B312" s="164" t="n"/>
      <c r="C312" s="164" t="n"/>
      <c r="D312" s="164" t="n"/>
      <c r="E312" s="164" t="n"/>
      <c r="F312" s="164" t="n"/>
      <c r="G312" s="164" t="n"/>
      <c r="H312" s="164" t="n"/>
      <c r="I312" s="164" t="n"/>
      <c r="J312" s="164" t="n"/>
      <c r="K312" s="164" t="n"/>
      <c r="L312" s="164" t="n"/>
      <c r="M312" s="164" t="n"/>
    </row>
    <row r="313">
      <c r="A313" s="164" t="n"/>
      <c r="B313" s="164" t="n"/>
      <c r="C313" s="164" t="n"/>
      <c r="D313" s="164" t="n"/>
      <c r="E313" s="164" t="n"/>
      <c r="F313" s="164" t="n"/>
      <c r="G313" s="164" t="n"/>
      <c r="H313" s="164" t="n"/>
      <c r="I313" s="164" t="n"/>
      <c r="J313" s="164" t="n"/>
      <c r="K313" s="164" t="n"/>
      <c r="L313" s="164" t="n"/>
      <c r="M313" s="164" t="n"/>
    </row>
    <row r="314">
      <c r="A314" s="164" t="n"/>
      <c r="B314" s="164" t="n"/>
      <c r="C314" s="164" t="n"/>
      <c r="D314" s="164" t="n"/>
      <c r="E314" s="164" t="n"/>
      <c r="F314" s="164" t="n"/>
      <c r="G314" s="164" t="n"/>
      <c r="H314" s="164" t="n"/>
      <c r="I314" s="164" t="n"/>
      <c r="J314" s="164" t="n"/>
      <c r="K314" s="164" t="n"/>
      <c r="L314" s="164" t="n"/>
      <c r="M314" s="164" t="n"/>
    </row>
    <row r="315">
      <c r="A315" s="164" t="n"/>
      <c r="B315" s="164" t="n"/>
      <c r="C315" s="164" t="n"/>
      <c r="D315" s="164" t="n"/>
      <c r="E315" s="164" t="n"/>
      <c r="F315" s="164" t="n"/>
      <c r="G315" s="164" t="n"/>
      <c r="H315" s="164" t="n"/>
      <c r="I315" s="164" t="n"/>
      <c r="J315" s="164" t="n"/>
      <c r="K315" s="164" t="n"/>
      <c r="L315" s="164" t="n"/>
      <c r="M315" s="164" t="n"/>
    </row>
    <row r="316">
      <c r="A316" s="164" t="n"/>
      <c r="B316" s="164" t="n"/>
      <c r="C316" s="164" t="n"/>
      <c r="D316" s="164" t="n"/>
      <c r="E316" s="164" t="n"/>
      <c r="F316" s="164" t="n"/>
      <c r="G316" s="164" t="n"/>
      <c r="H316" s="164" t="n"/>
      <c r="I316" s="164" t="n"/>
      <c r="J316" s="164" t="n"/>
      <c r="K316" s="164" t="n"/>
      <c r="L316" s="164" t="n"/>
      <c r="M316" s="164" t="n"/>
    </row>
    <row r="317">
      <c r="A317" s="164" t="n"/>
      <c r="B317" s="164" t="n"/>
      <c r="C317" s="164" t="n"/>
      <c r="D317" s="164" t="n"/>
      <c r="E317" s="164" t="n"/>
      <c r="F317" s="164" t="n"/>
      <c r="G317" s="164" t="n"/>
      <c r="H317" s="164" t="n"/>
      <c r="I317" s="164" t="n"/>
      <c r="J317" s="164" t="n"/>
      <c r="K317" s="164" t="n"/>
      <c r="L317" s="164" t="n"/>
      <c r="M317" s="164" t="n"/>
    </row>
    <row r="318">
      <c r="A318" s="164" t="n"/>
      <c r="B318" s="164" t="n"/>
      <c r="C318" s="164" t="n"/>
      <c r="D318" s="164" t="n"/>
      <c r="E318" s="164" t="n"/>
      <c r="F318" s="164" t="n"/>
      <c r="G318" s="164" t="n"/>
      <c r="H318" s="164" t="n"/>
      <c r="I318" s="164" t="n"/>
      <c r="J318" s="164" t="n"/>
      <c r="K318" s="164" t="n"/>
      <c r="L318" s="164" t="n"/>
      <c r="M318" s="164" t="n"/>
    </row>
    <row r="319">
      <c r="A319" s="164" t="n"/>
      <c r="B319" s="164" t="n"/>
      <c r="C319" s="164" t="n"/>
      <c r="D319" s="164" t="n"/>
      <c r="E319" s="164" t="n"/>
      <c r="F319" s="164" t="n"/>
      <c r="G319" s="164" t="n"/>
      <c r="H319" s="164" t="n"/>
      <c r="I319" s="164" t="n"/>
      <c r="J319" s="164" t="n"/>
      <c r="K319" s="164" t="n"/>
      <c r="L319" s="164" t="n"/>
      <c r="M319" s="164" t="n"/>
    </row>
    <row r="320">
      <c r="A320" s="164" t="n"/>
      <c r="B320" s="164" t="n"/>
      <c r="C320" s="164" t="n"/>
      <c r="D320" s="164" t="n"/>
      <c r="E320" s="164" t="n"/>
      <c r="F320" s="164" t="n"/>
      <c r="G320" s="164" t="n"/>
      <c r="H320" s="164" t="n"/>
      <c r="I320" s="164" t="n"/>
      <c r="J320" s="164" t="n"/>
      <c r="K320" s="164" t="n"/>
      <c r="L320" s="164" t="n"/>
      <c r="M320" s="164" t="n"/>
    </row>
    <row r="321">
      <c r="A321" s="164" t="n"/>
      <c r="B321" s="164" t="n"/>
      <c r="C321" s="164" t="n"/>
      <c r="D321" s="164" t="n"/>
      <c r="E321" s="164" t="n"/>
      <c r="F321" s="164" t="n"/>
      <c r="G321" s="164" t="n"/>
      <c r="H321" s="164" t="n"/>
      <c r="I321" s="164" t="n"/>
      <c r="J321" s="164" t="n"/>
      <c r="K321" s="164" t="n"/>
      <c r="L321" s="164" t="n"/>
      <c r="M321" s="164" t="n"/>
    </row>
    <row r="322">
      <c r="A322" s="164" t="n"/>
      <c r="B322" s="164" t="n"/>
      <c r="C322" s="164" t="n"/>
      <c r="D322" s="164" t="n"/>
      <c r="E322" s="164" t="n"/>
      <c r="F322" s="164" t="n"/>
      <c r="G322" s="164" t="n"/>
      <c r="H322" s="164" t="n"/>
      <c r="I322" s="164" t="n"/>
      <c r="J322" s="164" t="n"/>
      <c r="K322" s="164" t="n"/>
      <c r="L322" s="164" t="n"/>
      <c r="M322" s="164" t="n"/>
    </row>
    <row r="323">
      <c r="A323" s="164" t="n"/>
      <c r="B323" s="164" t="n"/>
      <c r="C323" s="164" t="n"/>
      <c r="D323" s="164" t="n"/>
      <c r="E323" s="164" t="n"/>
      <c r="F323" s="164" t="n"/>
      <c r="G323" s="164" t="n"/>
      <c r="H323" s="164" t="n"/>
      <c r="I323" s="164" t="n"/>
      <c r="J323" s="164" t="n"/>
      <c r="K323" s="164" t="n"/>
      <c r="L323" s="164" t="n"/>
      <c r="M323" s="164" t="n"/>
    </row>
    <row r="324">
      <c r="A324" s="164" t="n"/>
      <c r="B324" s="164" t="n"/>
      <c r="C324" s="164" t="n"/>
      <c r="D324" s="164" t="n"/>
      <c r="E324" s="164" t="n"/>
      <c r="F324" s="164" t="n"/>
      <c r="G324" s="164" t="n"/>
      <c r="H324" s="164" t="n"/>
      <c r="I324" s="164" t="n"/>
      <c r="J324" s="164" t="n"/>
      <c r="K324" s="164" t="n"/>
      <c r="L324" s="164" t="n"/>
      <c r="M324" s="164" t="n"/>
    </row>
    <row r="325">
      <c r="A325" s="164" t="n"/>
      <c r="B325" s="164" t="n"/>
      <c r="C325" s="164" t="n"/>
      <c r="D325" s="164" t="n"/>
      <c r="E325" s="164" t="n"/>
      <c r="F325" s="164" t="n"/>
      <c r="G325" s="164" t="n"/>
      <c r="H325" s="164" t="n"/>
      <c r="I325" s="164" t="n"/>
      <c r="J325" s="164" t="n"/>
      <c r="K325" s="164" t="n"/>
      <c r="L325" s="164" t="n"/>
      <c r="M325" s="164" t="n"/>
    </row>
    <row r="326">
      <c r="A326" s="164" t="n"/>
      <c r="B326" s="164" t="n"/>
      <c r="C326" s="164" t="n"/>
      <c r="D326" s="164" t="n"/>
      <c r="E326" s="164" t="n"/>
      <c r="F326" s="164" t="n"/>
      <c r="G326" s="164" t="n"/>
      <c r="H326" s="164" t="n"/>
      <c r="I326" s="164" t="n"/>
      <c r="J326" s="164" t="n"/>
      <c r="K326" s="164" t="n"/>
      <c r="L326" s="164" t="n"/>
      <c r="M326" s="164" t="n"/>
    </row>
    <row r="327">
      <c r="A327" s="164" t="n"/>
      <c r="B327" s="164" t="n"/>
      <c r="C327" s="164" t="n"/>
      <c r="D327" s="164" t="n"/>
      <c r="E327" s="164" t="n"/>
      <c r="F327" s="164" t="n"/>
      <c r="G327" s="164" t="n"/>
      <c r="H327" s="164" t="n"/>
      <c r="I327" s="164" t="n"/>
      <c r="J327" s="164" t="n"/>
      <c r="K327" s="164" t="n"/>
      <c r="L327" s="164" t="n"/>
      <c r="M327" s="164" t="n"/>
    </row>
    <row r="328">
      <c r="A328" s="164" t="n"/>
      <c r="B328" s="164" t="n"/>
      <c r="C328" s="164" t="n"/>
      <c r="D328" s="164" t="n"/>
      <c r="E328" s="164" t="n"/>
      <c r="F328" s="164" t="n"/>
      <c r="G328" s="164" t="n"/>
      <c r="H328" s="164" t="n"/>
      <c r="I328" s="164" t="n"/>
      <c r="J328" s="164" t="n"/>
      <c r="K328" s="164" t="n"/>
      <c r="L328" s="164" t="n"/>
      <c r="M328" s="164" t="n"/>
    </row>
    <row r="329">
      <c r="A329" s="164" t="n"/>
      <c r="B329" s="164" t="n"/>
      <c r="C329" s="164" t="n"/>
      <c r="D329" s="164" t="n"/>
      <c r="E329" s="164" t="n"/>
      <c r="F329" s="164" t="n"/>
      <c r="G329" s="164" t="n"/>
      <c r="H329" s="164" t="n"/>
      <c r="I329" s="164" t="n"/>
      <c r="J329" s="164" t="n"/>
      <c r="K329" s="164" t="n"/>
      <c r="L329" s="164" t="n"/>
      <c r="M329" s="164" t="n"/>
    </row>
    <row r="330">
      <c r="A330" s="164" t="n"/>
      <c r="B330" s="164" t="n"/>
      <c r="C330" s="164" t="n"/>
      <c r="D330" s="164" t="n"/>
      <c r="E330" s="164" t="n"/>
      <c r="F330" s="164" t="n"/>
      <c r="G330" s="164" t="n"/>
      <c r="H330" s="164" t="n"/>
      <c r="I330" s="164" t="n"/>
      <c r="J330" s="164" t="n"/>
      <c r="K330" s="164" t="n"/>
      <c r="L330" s="164" t="n"/>
      <c r="M330" s="164" t="n"/>
    </row>
    <row r="331">
      <c r="A331" s="164" t="n"/>
      <c r="B331" s="164" t="n"/>
      <c r="C331" s="164" t="n"/>
      <c r="D331" s="164" t="n"/>
      <c r="E331" s="164" t="n"/>
      <c r="F331" s="164" t="n"/>
      <c r="G331" s="164" t="n"/>
      <c r="H331" s="164" t="n"/>
      <c r="I331" s="164" t="n"/>
      <c r="J331" s="164" t="n"/>
      <c r="K331" s="164" t="n"/>
      <c r="L331" s="164" t="n"/>
      <c r="M331" s="164" t="n"/>
    </row>
    <row r="332">
      <c r="A332" s="164" t="n"/>
      <c r="B332" s="164" t="n"/>
      <c r="C332" s="164" t="n"/>
      <c r="D332" s="164" t="n"/>
      <c r="E332" s="164" t="n"/>
      <c r="F332" s="164" t="n"/>
      <c r="G332" s="164" t="n"/>
      <c r="H332" s="164" t="n"/>
      <c r="I332" s="164" t="n"/>
      <c r="J332" s="164" t="n"/>
      <c r="K332" s="164" t="n"/>
      <c r="L332" s="164" t="n"/>
      <c r="M332" s="164" t="n"/>
    </row>
    <row r="333">
      <c r="A333" s="164" t="n"/>
      <c r="B333" s="164" t="n"/>
      <c r="C333" s="164" t="n"/>
      <c r="D333" s="164" t="n"/>
      <c r="E333" s="164" t="n"/>
      <c r="F333" s="164" t="n"/>
      <c r="G333" s="164" t="n"/>
      <c r="H333" s="164" t="n"/>
      <c r="I333" s="164" t="n"/>
      <c r="J333" s="164" t="n"/>
      <c r="K333" s="164" t="n"/>
      <c r="L333" s="164" t="n"/>
      <c r="M333" s="164" t="n"/>
    </row>
    <row r="334">
      <c r="A334" s="164" t="n"/>
      <c r="B334" s="164" t="n"/>
      <c r="C334" s="164" t="n"/>
      <c r="D334" s="164" t="n"/>
      <c r="E334" s="164" t="n"/>
      <c r="F334" s="164" t="n"/>
      <c r="G334" s="164" t="n"/>
      <c r="H334" s="164" t="n"/>
      <c r="I334" s="164" t="n"/>
      <c r="J334" s="164" t="n"/>
      <c r="K334" s="164" t="n"/>
      <c r="L334" s="164" t="n"/>
      <c r="M334" s="164" t="n"/>
    </row>
    <row r="335">
      <c r="A335" s="164" t="n"/>
      <c r="B335" s="164" t="n"/>
      <c r="C335" s="164" t="n"/>
      <c r="D335" s="164" t="n"/>
      <c r="E335" s="164" t="n"/>
      <c r="F335" s="164" t="n"/>
      <c r="G335" s="164" t="n"/>
      <c r="H335" s="164" t="n"/>
      <c r="I335" s="164" t="n"/>
      <c r="J335" s="164" t="n"/>
      <c r="K335" s="164" t="n"/>
      <c r="L335" s="164" t="n"/>
      <c r="M335" s="164" t="n"/>
    </row>
    <row r="336">
      <c r="A336" s="164" t="n"/>
      <c r="B336" s="164" t="n"/>
      <c r="C336" s="164" t="n"/>
      <c r="D336" s="164" t="n"/>
      <c r="E336" s="164" t="n"/>
      <c r="F336" s="164" t="n"/>
      <c r="G336" s="164" t="n"/>
      <c r="H336" s="164" t="n"/>
      <c r="I336" s="164" t="n"/>
      <c r="J336" s="164" t="n"/>
      <c r="K336" s="164" t="n"/>
      <c r="L336" s="164" t="n"/>
      <c r="M336" s="164" t="n"/>
    </row>
    <row r="337">
      <c r="A337" s="164" t="n"/>
      <c r="B337" s="164" t="n"/>
      <c r="C337" s="164" t="n"/>
      <c r="D337" s="164" t="n"/>
      <c r="E337" s="164" t="n"/>
      <c r="F337" s="164" t="n"/>
      <c r="G337" s="164" t="n"/>
      <c r="H337" s="164" t="n"/>
      <c r="I337" s="164" t="n"/>
      <c r="J337" s="164" t="n"/>
      <c r="K337" s="164" t="n"/>
      <c r="L337" s="164" t="n"/>
      <c r="M337" s="164" t="n"/>
    </row>
    <row r="338">
      <c r="A338" s="164" t="n"/>
      <c r="B338" s="164" t="n"/>
      <c r="C338" s="164" t="n"/>
      <c r="D338" s="164" t="n"/>
      <c r="E338" s="164" t="n"/>
      <c r="F338" s="164" t="n"/>
      <c r="G338" s="164" t="n"/>
      <c r="H338" s="164" t="n"/>
      <c r="I338" s="164" t="n"/>
      <c r="J338" s="164" t="n"/>
      <c r="K338" s="164" t="n"/>
      <c r="L338" s="164" t="n"/>
      <c r="M338" s="164" t="n"/>
    </row>
    <row r="339">
      <c r="A339" s="164" t="n"/>
      <c r="B339" s="164" t="n"/>
      <c r="C339" s="164" t="n"/>
      <c r="D339" s="164" t="n"/>
      <c r="E339" s="164" t="n"/>
      <c r="F339" s="164" t="n"/>
      <c r="G339" s="164" t="n"/>
      <c r="H339" s="164" t="n"/>
      <c r="I339" s="164" t="n"/>
      <c r="J339" s="164" t="n"/>
      <c r="K339" s="164" t="n"/>
      <c r="L339" s="164" t="n"/>
      <c r="M339" s="164" t="n"/>
    </row>
    <row r="340">
      <c r="A340" s="164" t="n"/>
      <c r="B340" s="164" t="n"/>
      <c r="C340" s="164" t="n"/>
      <c r="D340" s="164" t="n"/>
      <c r="E340" s="164" t="n"/>
      <c r="F340" s="164" t="n"/>
      <c r="G340" s="164" t="n"/>
      <c r="H340" s="164" t="n"/>
      <c r="I340" s="164" t="n"/>
      <c r="J340" s="164" t="n"/>
      <c r="K340" s="164" t="n"/>
      <c r="L340" s="164" t="n"/>
      <c r="M340" s="164" t="n"/>
    </row>
    <row r="341">
      <c r="A341" s="164" t="n"/>
      <c r="B341" s="164" t="n"/>
      <c r="C341" s="164" t="n"/>
      <c r="D341" s="164" t="n"/>
      <c r="E341" s="164" t="n"/>
      <c r="F341" s="164" t="n"/>
      <c r="G341" s="164" t="n"/>
      <c r="H341" s="164" t="n"/>
      <c r="I341" s="164" t="n"/>
      <c r="J341" s="164" t="n"/>
      <c r="K341" s="164" t="n"/>
      <c r="L341" s="164" t="n"/>
      <c r="M341" s="164" t="n"/>
    </row>
    <row r="342">
      <c r="A342" s="164" t="n"/>
      <c r="B342" s="164" t="n"/>
      <c r="C342" s="164" t="n"/>
      <c r="D342" s="164" t="n"/>
      <c r="E342" s="164" t="n"/>
      <c r="F342" s="164" t="n"/>
      <c r="G342" s="164" t="n"/>
      <c r="H342" s="164" t="n"/>
      <c r="I342" s="164" t="n"/>
      <c r="J342" s="164" t="n"/>
      <c r="K342" s="164" t="n"/>
      <c r="L342" s="164" t="n"/>
      <c r="M342" s="164" t="n"/>
    </row>
    <row r="343">
      <c r="A343" s="164" t="n"/>
      <c r="B343" s="164" t="n"/>
      <c r="C343" s="164" t="n"/>
      <c r="D343" s="164" t="n"/>
      <c r="E343" s="164" t="n"/>
      <c r="F343" s="164" t="n"/>
      <c r="G343" s="164" t="n"/>
      <c r="H343" s="164" t="n"/>
      <c r="I343" s="164" t="n"/>
      <c r="J343" s="164" t="n"/>
      <c r="K343" s="164" t="n"/>
      <c r="L343" s="164" t="n"/>
      <c r="M343" s="164" t="n"/>
    </row>
    <row r="344">
      <c r="A344" s="164" t="n"/>
      <c r="B344" s="164" t="n"/>
      <c r="C344" s="164" t="n"/>
      <c r="D344" s="164" t="n"/>
      <c r="E344" s="164" t="n"/>
      <c r="F344" s="164" t="n"/>
      <c r="G344" s="164" t="n"/>
      <c r="H344" s="164" t="n"/>
      <c r="I344" s="164" t="n"/>
      <c r="J344" s="164" t="n"/>
      <c r="K344" s="164" t="n"/>
      <c r="L344" s="164" t="n"/>
      <c r="M344" s="164" t="n"/>
    </row>
    <row r="345">
      <c r="A345" s="164" t="n"/>
      <c r="B345" s="164" t="n"/>
      <c r="C345" s="164" t="n"/>
      <c r="D345" s="164" t="n"/>
      <c r="E345" s="164" t="n"/>
      <c r="F345" s="164" t="n"/>
      <c r="G345" s="164" t="n"/>
      <c r="H345" s="164" t="n"/>
      <c r="I345" s="164" t="n"/>
      <c r="J345" s="164" t="n"/>
      <c r="K345" s="164" t="n"/>
      <c r="L345" s="164" t="n"/>
      <c r="M345" s="164" t="n"/>
    </row>
    <row r="346">
      <c r="A346" s="164" t="n"/>
      <c r="B346" s="164" t="n"/>
      <c r="C346" s="164" t="n"/>
      <c r="D346" s="164" t="n"/>
      <c r="E346" s="164" t="n"/>
      <c r="F346" s="164" t="n"/>
      <c r="G346" s="164" t="n"/>
      <c r="H346" s="164" t="n"/>
      <c r="I346" s="164" t="n"/>
      <c r="J346" s="164" t="n"/>
      <c r="K346" s="164" t="n"/>
      <c r="L346" s="164" t="n"/>
      <c r="M346" s="164" t="n"/>
    </row>
    <row r="347">
      <c r="A347" s="164" t="n"/>
      <c r="B347" s="164" t="n"/>
      <c r="C347" s="164" t="n"/>
      <c r="D347" s="164" t="n"/>
      <c r="E347" s="164" t="n"/>
      <c r="F347" s="164" t="n"/>
      <c r="G347" s="164" t="n"/>
      <c r="H347" s="164" t="n"/>
      <c r="I347" s="164" t="n"/>
      <c r="J347" s="164" t="n"/>
      <c r="K347" s="164" t="n"/>
      <c r="L347" s="164" t="n"/>
      <c r="M347" s="164" t="n"/>
    </row>
    <row r="348">
      <c r="A348" s="164" t="n"/>
      <c r="B348" s="164" t="n"/>
      <c r="C348" s="164" t="n"/>
      <c r="D348" s="164" t="n"/>
      <c r="E348" s="164" t="n"/>
      <c r="F348" s="164" t="n"/>
      <c r="G348" s="164" t="n"/>
      <c r="H348" s="164" t="n"/>
      <c r="I348" s="164" t="n"/>
      <c r="J348" s="164" t="n"/>
      <c r="K348" s="164" t="n"/>
      <c r="L348" s="164" t="n"/>
      <c r="M348" s="164" t="n"/>
    </row>
    <row r="349">
      <c r="A349" s="164" t="n"/>
      <c r="B349" s="164" t="n"/>
      <c r="C349" s="164" t="n"/>
      <c r="D349" s="164" t="n"/>
      <c r="E349" s="164" t="n"/>
      <c r="F349" s="164" t="n"/>
      <c r="G349" s="164" t="n"/>
      <c r="H349" s="164" t="n"/>
      <c r="I349" s="164" t="n"/>
      <c r="J349" s="164" t="n"/>
      <c r="K349" s="164" t="n"/>
      <c r="L349" s="164" t="n"/>
      <c r="M349" s="164" t="n"/>
    </row>
    <row r="350">
      <c r="A350" s="164" t="n"/>
      <c r="B350" s="164" t="n"/>
      <c r="C350" s="164" t="n"/>
      <c r="D350" s="164" t="n"/>
      <c r="E350" s="164" t="n"/>
      <c r="F350" s="164" t="n"/>
      <c r="G350" s="164" t="n"/>
      <c r="H350" s="164" t="n"/>
      <c r="I350" s="164" t="n"/>
      <c r="J350" s="164" t="n"/>
      <c r="K350" s="164" t="n"/>
      <c r="L350" s="164" t="n"/>
      <c r="M350" s="164" t="n"/>
    </row>
    <row r="351">
      <c r="A351" s="164" t="n"/>
      <c r="B351" s="164" t="n"/>
      <c r="C351" s="164" t="n"/>
      <c r="D351" s="164" t="n"/>
      <c r="E351" s="164" t="n"/>
      <c r="F351" s="164" t="n"/>
      <c r="G351" s="164" t="n"/>
      <c r="H351" s="164" t="n"/>
      <c r="I351" s="164" t="n"/>
      <c r="J351" s="164" t="n"/>
      <c r="K351" s="164" t="n"/>
      <c r="L351" s="164" t="n"/>
      <c r="M351" s="164" t="n"/>
    </row>
    <row r="352">
      <c r="A352" s="164" t="n"/>
      <c r="B352" s="164" t="n"/>
      <c r="C352" s="164" t="n"/>
      <c r="D352" s="164" t="n"/>
      <c r="E352" s="164" t="n"/>
      <c r="F352" s="164" t="n"/>
      <c r="G352" s="164" t="n"/>
      <c r="H352" s="164" t="n"/>
      <c r="I352" s="164" t="n"/>
      <c r="J352" s="164" t="n"/>
      <c r="K352" s="164" t="n"/>
      <c r="L352" s="164" t="n"/>
      <c r="M352" s="164" t="n"/>
    </row>
    <row r="353">
      <c r="A353" s="164" t="n"/>
      <c r="B353" s="164" t="n"/>
      <c r="C353" s="164" t="n"/>
      <c r="D353" s="164" t="n"/>
      <c r="E353" s="164" t="n"/>
      <c r="F353" s="164" t="n"/>
      <c r="G353" s="164" t="n"/>
      <c r="H353" s="164" t="n"/>
      <c r="I353" s="164" t="n"/>
      <c r="J353" s="164" t="n"/>
      <c r="K353" s="164" t="n"/>
      <c r="L353" s="164" t="n"/>
      <c r="M353" s="164" t="n"/>
    </row>
    <row r="354">
      <c r="A354" s="164" t="n"/>
      <c r="B354" s="164" t="n"/>
      <c r="C354" s="164" t="n"/>
      <c r="D354" s="164" t="n"/>
      <c r="E354" s="164" t="n"/>
      <c r="F354" s="164" t="n"/>
      <c r="G354" s="164" t="n"/>
      <c r="H354" s="164" t="n"/>
      <c r="I354" s="164" t="n"/>
      <c r="J354" s="164" t="n"/>
      <c r="K354" s="164" t="n"/>
      <c r="L354" s="164" t="n"/>
      <c r="M354" s="164" t="n"/>
    </row>
    <row r="355">
      <c r="A355" s="164" t="n"/>
      <c r="B355" s="164" t="n"/>
      <c r="C355" s="164" t="n"/>
      <c r="D355" s="164" t="n"/>
      <c r="E355" s="164" t="n"/>
      <c r="F355" s="164" t="n"/>
      <c r="G355" s="164" t="n"/>
      <c r="H355" s="164" t="n"/>
      <c r="I355" s="164" t="n"/>
      <c r="J355" s="164" t="n"/>
      <c r="K355" s="164" t="n"/>
      <c r="L355" s="164" t="n"/>
      <c r="M355" s="164" t="n"/>
    </row>
    <row r="356">
      <c r="A356" s="164" t="n"/>
      <c r="B356" s="164" t="n"/>
      <c r="C356" s="164" t="n"/>
      <c r="D356" s="164" t="n"/>
      <c r="E356" s="164" t="n"/>
      <c r="F356" s="164" t="n"/>
      <c r="G356" s="164" t="n"/>
      <c r="H356" s="164" t="n"/>
      <c r="I356" s="164" t="n"/>
      <c r="J356" s="164" t="n"/>
      <c r="K356" s="164" t="n"/>
      <c r="L356" s="164" t="n"/>
      <c r="M356" s="164" t="n"/>
    </row>
    <row r="357">
      <c r="A357" s="164" t="n"/>
      <c r="B357" s="164" t="n"/>
      <c r="C357" s="164" t="n"/>
      <c r="D357" s="164" t="n"/>
      <c r="E357" s="164" t="n"/>
      <c r="F357" s="164" t="n"/>
      <c r="G357" s="164" t="n"/>
      <c r="H357" s="164" t="n"/>
      <c r="I357" s="164" t="n"/>
      <c r="J357" s="164" t="n"/>
      <c r="K357" s="164" t="n"/>
      <c r="L357" s="164" t="n"/>
      <c r="M357" s="164" t="n"/>
    </row>
    <row r="358">
      <c r="A358" s="164" t="n"/>
      <c r="B358" s="164" t="n"/>
      <c r="C358" s="164" t="n"/>
      <c r="D358" s="164" t="n"/>
      <c r="E358" s="164" t="n"/>
      <c r="F358" s="164" t="n"/>
      <c r="G358" s="164" t="n"/>
      <c r="H358" s="164" t="n"/>
      <c r="I358" s="164" t="n"/>
      <c r="J358" s="164" t="n"/>
      <c r="K358" s="164" t="n"/>
      <c r="L358" s="164" t="n"/>
      <c r="M358" s="164" t="n"/>
    </row>
    <row r="359">
      <c r="A359" s="164" t="n"/>
      <c r="B359" s="164" t="n"/>
      <c r="C359" s="164" t="n"/>
      <c r="D359" s="164" t="n"/>
      <c r="E359" s="164" t="n"/>
      <c r="F359" s="164" t="n"/>
      <c r="G359" s="164" t="n"/>
      <c r="H359" s="164" t="n"/>
      <c r="I359" s="164" t="n"/>
      <c r="J359" s="164" t="n"/>
      <c r="K359" s="164" t="n"/>
      <c r="L359" s="164" t="n"/>
      <c r="M359" s="164" t="n"/>
    </row>
    <row r="360">
      <c r="A360" s="164" t="n"/>
      <c r="B360" s="164" t="n"/>
      <c r="C360" s="164" t="n"/>
      <c r="D360" s="164" t="n"/>
      <c r="E360" s="164" t="n"/>
      <c r="F360" s="164" t="n"/>
      <c r="G360" s="164" t="n"/>
      <c r="H360" s="164" t="n"/>
      <c r="I360" s="164" t="n"/>
      <c r="J360" s="164" t="n"/>
      <c r="K360" s="164" t="n"/>
      <c r="L360" s="164" t="n"/>
      <c r="M360" s="164" t="n"/>
    </row>
    <row r="361">
      <c r="A361" s="164" t="n"/>
      <c r="B361" s="164" t="n"/>
      <c r="C361" s="164" t="n"/>
      <c r="D361" s="164" t="n"/>
      <c r="E361" s="164" t="n"/>
      <c r="F361" s="164" t="n"/>
      <c r="G361" s="164" t="n"/>
      <c r="H361" s="164" t="n"/>
      <c r="I361" s="164" t="n"/>
      <c r="J361" s="164" t="n"/>
      <c r="K361" s="164" t="n"/>
      <c r="L361" s="164" t="n"/>
      <c r="M361" s="164" t="n"/>
    </row>
    <row r="362">
      <c r="A362" s="164" t="n"/>
      <c r="B362" s="164" t="n"/>
      <c r="C362" s="164" t="n"/>
      <c r="D362" s="164" t="n"/>
      <c r="E362" s="164" t="n"/>
      <c r="F362" s="164" t="n"/>
      <c r="G362" s="164" t="n"/>
      <c r="H362" s="164" t="n"/>
      <c r="I362" s="164" t="n"/>
      <c r="J362" s="164" t="n"/>
      <c r="K362" s="164" t="n"/>
      <c r="L362" s="164" t="n"/>
      <c r="M362" s="164" t="n"/>
    </row>
    <row r="363">
      <c r="A363" s="164" t="n"/>
      <c r="B363" s="164" t="n"/>
      <c r="C363" s="164" t="n"/>
      <c r="D363" s="164" t="n"/>
      <c r="E363" s="164" t="n"/>
      <c r="F363" s="164" t="n"/>
      <c r="G363" s="164" t="n"/>
      <c r="H363" s="164" t="n"/>
      <c r="I363" s="164" t="n"/>
      <c r="J363" s="164" t="n"/>
      <c r="K363" s="164" t="n"/>
      <c r="L363" s="164" t="n"/>
      <c r="M363" s="164" t="n"/>
    </row>
    <row r="364">
      <c r="A364" s="164" t="n"/>
      <c r="B364" s="164" t="n"/>
      <c r="C364" s="164" t="n"/>
      <c r="D364" s="164" t="n"/>
      <c r="E364" s="164" t="n"/>
      <c r="F364" s="164" t="n"/>
      <c r="G364" s="164" t="n"/>
      <c r="H364" s="164" t="n"/>
      <c r="I364" s="164" t="n"/>
      <c r="J364" s="164" t="n"/>
      <c r="K364" s="164" t="n"/>
      <c r="L364" s="164" t="n"/>
      <c r="M364" s="164" t="n"/>
    </row>
    <row r="365">
      <c r="A365" s="164" t="n"/>
      <c r="B365" s="164" t="n"/>
      <c r="C365" s="164" t="n"/>
      <c r="D365" s="164" t="n"/>
      <c r="E365" s="164" t="n"/>
      <c r="F365" s="164" t="n"/>
      <c r="G365" s="164" t="n"/>
      <c r="H365" s="164" t="n"/>
      <c r="I365" s="164" t="n"/>
      <c r="J365" s="164" t="n"/>
      <c r="K365" s="164" t="n"/>
      <c r="L365" s="164" t="n"/>
      <c r="M365" s="164" t="n"/>
    </row>
    <row r="366">
      <c r="A366" s="164" t="n"/>
      <c r="B366" s="164" t="n"/>
      <c r="C366" s="164" t="n"/>
      <c r="D366" s="164" t="n"/>
      <c r="E366" s="164" t="n"/>
      <c r="F366" s="164" t="n"/>
      <c r="G366" s="164" t="n"/>
      <c r="H366" s="164" t="n"/>
      <c r="I366" s="164" t="n"/>
      <c r="J366" s="164" t="n"/>
      <c r="K366" s="164" t="n"/>
      <c r="L366" s="164" t="n"/>
      <c r="M366" s="164" t="n"/>
    </row>
    <row r="367">
      <c r="A367" s="164" t="n"/>
      <c r="B367" s="164" t="n"/>
      <c r="C367" s="164" t="n"/>
      <c r="D367" s="164" t="n"/>
      <c r="E367" s="164" t="n"/>
      <c r="F367" s="164" t="n"/>
      <c r="G367" s="164" t="n"/>
      <c r="H367" s="164" t="n"/>
      <c r="I367" s="164" t="n"/>
      <c r="J367" s="164" t="n"/>
      <c r="K367" s="164" t="n"/>
      <c r="L367" s="164" t="n"/>
      <c r="M367" s="164" t="n"/>
    </row>
    <row r="368">
      <c r="A368" s="164" t="n"/>
      <c r="B368" s="164" t="n"/>
      <c r="C368" s="164" t="n"/>
      <c r="D368" s="164" t="n"/>
      <c r="E368" s="164" t="n"/>
      <c r="F368" s="164" t="n"/>
      <c r="G368" s="164" t="n"/>
      <c r="H368" s="164" t="n"/>
      <c r="I368" s="164" t="n"/>
      <c r="J368" s="164" t="n"/>
      <c r="K368" s="164" t="n"/>
      <c r="L368" s="164" t="n"/>
      <c r="M368" s="164" t="n"/>
    </row>
    <row r="369">
      <c r="A369" s="164" t="n"/>
      <c r="B369" s="164" t="n"/>
      <c r="C369" s="164" t="n"/>
      <c r="D369" s="164" t="n"/>
      <c r="E369" s="164" t="n"/>
      <c r="F369" s="164" t="n"/>
      <c r="G369" s="164" t="n"/>
      <c r="H369" s="164" t="n"/>
      <c r="I369" s="164" t="n"/>
      <c r="J369" s="164" t="n"/>
      <c r="K369" s="164" t="n"/>
      <c r="L369" s="164" t="n"/>
      <c r="M369" s="164" t="n"/>
    </row>
    <row r="370">
      <c r="A370" s="164" t="n"/>
      <c r="B370" s="164" t="n"/>
      <c r="C370" s="164" t="n"/>
      <c r="D370" s="164" t="n"/>
      <c r="E370" s="164" t="n"/>
      <c r="F370" s="164" t="n"/>
      <c r="G370" s="164" t="n"/>
      <c r="H370" s="164" t="n"/>
      <c r="I370" s="164" t="n"/>
      <c r="J370" s="164" t="n"/>
      <c r="K370" s="164" t="n"/>
      <c r="L370" s="164" t="n"/>
      <c r="M370" s="164" t="n"/>
    </row>
    <row r="371">
      <c r="A371" s="164" t="n"/>
      <c r="B371" s="164" t="n"/>
      <c r="C371" s="164" t="n"/>
      <c r="D371" s="164" t="n"/>
      <c r="E371" s="164" t="n"/>
      <c r="F371" s="164" t="n"/>
      <c r="G371" s="164" t="n"/>
      <c r="H371" s="164" t="n"/>
      <c r="I371" s="164" t="n"/>
      <c r="J371" s="164" t="n"/>
      <c r="K371" s="164" t="n"/>
      <c r="L371" s="164" t="n"/>
      <c r="M371" s="164" t="n"/>
    </row>
    <row r="372">
      <c r="A372" s="164" t="n"/>
      <c r="B372" s="164" t="n"/>
      <c r="C372" s="164" t="n"/>
      <c r="D372" s="164" t="n"/>
      <c r="E372" s="164" t="n"/>
      <c r="F372" s="164" t="n"/>
      <c r="G372" s="164" t="n"/>
      <c r="H372" s="164" t="n"/>
      <c r="I372" s="164" t="n"/>
      <c r="J372" s="164" t="n"/>
      <c r="K372" s="164" t="n"/>
      <c r="L372" s="164" t="n"/>
      <c r="M372" s="164" t="n"/>
    </row>
    <row r="373">
      <c r="A373" s="164" t="n"/>
      <c r="B373" s="164" t="n"/>
      <c r="C373" s="164" t="n"/>
      <c r="D373" s="164" t="n"/>
      <c r="E373" s="164" t="n"/>
      <c r="F373" s="164" t="n"/>
      <c r="G373" s="164" t="n"/>
      <c r="H373" s="164" t="n"/>
      <c r="I373" s="164" t="n"/>
      <c r="J373" s="164" t="n"/>
      <c r="K373" s="164" t="n"/>
      <c r="L373" s="164" t="n"/>
      <c r="M373" s="164" t="n"/>
    </row>
    <row r="374">
      <c r="A374" s="164" t="n"/>
      <c r="B374" s="164" t="n"/>
      <c r="C374" s="164" t="n"/>
      <c r="D374" s="164" t="n"/>
      <c r="E374" s="164" t="n"/>
      <c r="F374" s="164" t="n"/>
      <c r="G374" s="164" t="n"/>
      <c r="H374" s="164" t="n"/>
      <c r="I374" s="164" t="n"/>
      <c r="J374" s="164" t="n"/>
      <c r="K374" s="164" t="n"/>
      <c r="L374" s="164" t="n"/>
      <c r="M374" s="164" t="n"/>
    </row>
    <row r="375">
      <c r="A375" s="164" t="n"/>
      <c r="B375" s="164" t="n"/>
      <c r="C375" s="164" t="n"/>
      <c r="D375" s="164" t="n"/>
      <c r="E375" s="164" t="n"/>
      <c r="F375" s="164" t="n"/>
      <c r="G375" s="164" t="n"/>
      <c r="H375" s="164" t="n"/>
      <c r="I375" s="164" t="n"/>
      <c r="J375" s="164" t="n"/>
      <c r="K375" s="164" t="n"/>
      <c r="L375" s="164" t="n"/>
      <c r="M375" s="164" t="n"/>
    </row>
    <row r="376">
      <c r="A376" s="164" t="n"/>
      <c r="B376" s="164" t="n"/>
      <c r="C376" s="164" t="n"/>
      <c r="D376" s="164" t="n"/>
      <c r="E376" s="164" t="n"/>
      <c r="F376" s="164" t="n"/>
      <c r="G376" s="164" t="n"/>
      <c r="H376" s="164" t="n"/>
      <c r="I376" s="164" t="n"/>
      <c r="J376" s="164" t="n"/>
      <c r="K376" s="164" t="n"/>
      <c r="L376" s="164" t="n"/>
      <c r="M376" s="164" t="n"/>
    </row>
    <row r="377">
      <c r="A377" s="164" t="n"/>
      <c r="B377" s="164" t="n"/>
      <c r="C377" s="164" t="n"/>
      <c r="D377" s="164" t="n"/>
      <c r="E377" s="164" t="n"/>
      <c r="F377" s="164" t="n"/>
      <c r="G377" s="164" t="n"/>
      <c r="H377" s="164" t="n"/>
      <c r="I377" s="164" t="n"/>
      <c r="J377" s="164" t="n"/>
      <c r="K377" s="164" t="n"/>
      <c r="L377" s="164" t="n"/>
      <c r="M377" s="164" t="n"/>
    </row>
    <row r="378">
      <c r="A378" s="164" t="n"/>
      <c r="B378" s="164" t="n"/>
      <c r="C378" s="164" t="n"/>
      <c r="D378" s="164" t="n"/>
      <c r="E378" s="164" t="n"/>
      <c r="F378" s="164" t="n"/>
      <c r="G378" s="164" t="n"/>
      <c r="H378" s="164" t="n"/>
      <c r="I378" s="164" t="n"/>
      <c r="J378" s="164" t="n"/>
      <c r="K378" s="164" t="n"/>
      <c r="L378" s="164" t="n"/>
      <c r="M378" s="164" t="n"/>
    </row>
    <row r="379">
      <c r="A379" s="164" t="n"/>
      <c r="B379" s="164" t="n"/>
      <c r="C379" s="164" t="n"/>
      <c r="D379" s="164" t="n"/>
      <c r="E379" s="164" t="n"/>
      <c r="F379" s="164" t="n"/>
      <c r="G379" s="164" t="n"/>
      <c r="H379" s="164" t="n"/>
      <c r="I379" s="164" t="n"/>
      <c r="J379" s="164" t="n"/>
      <c r="K379" s="164" t="n"/>
      <c r="L379" s="164" t="n"/>
      <c r="M379" s="164" t="n"/>
    </row>
    <row r="380">
      <c r="A380" s="164" t="n"/>
      <c r="B380" s="164" t="n"/>
      <c r="C380" s="164" t="n"/>
      <c r="D380" s="164" t="n"/>
      <c r="E380" s="164" t="n"/>
      <c r="F380" s="164" t="n"/>
      <c r="G380" s="164" t="n"/>
      <c r="H380" s="164" t="n"/>
      <c r="I380" s="164" t="n"/>
      <c r="J380" s="164" t="n"/>
      <c r="K380" s="164" t="n"/>
      <c r="L380" s="164" t="n"/>
      <c r="M380" s="164" t="n"/>
    </row>
    <row r="381">
      <c r="A381" s="164" t="n"/>
      <c r="B381" s="164" t="n"/>
      <c r="C381" s="164" t="n"/>
      <c r="D381" s="164" t="n"/>
      <c r="E381" s="164" t="n"/>
      <c r="F381" s="164" t="n"/>
      <c r="G381" s="164" t="n"/>
      <c r="H381" s="164" t="n"/>
      <c r="I381" s="164" t="n"/>
      <c r="J381" s="164" t="n"/>
      <c r="K381" s="164" t="n"/>
      <c r="L381" s="164" t="n"/>
      <c r="M381" s="164" t="n"/>
    </row>
    <row r="382">
      <c r="A382" s="164" t="n"/>
      <c r="B382" s="164" t="n"/>
      <c r="C382" s="164" t="n"/>
      <c r="D382" s="164" t="n"/>
      <c r="E382" s="164" t="n"/>
      <c r="F382" s="164" t="n"/>
      <c r="G382" s="164" t="n"/>
      <c r="H382" s="164" t="n"/>
      <c r="I382" s="164" t="n"/>
      <c r="J382" s="164" t="n"/>
      <c r="K382" s="164" t="n"/>
      <c r="L382" s="164" t="n"/>
      <c r="M382" s="164" t="n"/>
    </row>
    <row r="383">
      <c r="A383" s="164" t="n"/>
      <c r="B383" s="164" t="n"/>
      <c r="C383" s="164" t="n"/>
      <c r="D383" s="164" t="n"/>
      <c r="E383" s="164" t="n"/>
      <c r="F383" s="164" t="n"/>
      <c r="G383" s="164" t="n"/>
      <c r="H383" s="164" t="n"/>
      <c r="I383" s="164" t="n"/>
      <c r="J383" s="164" t="n"/>
      <c r="K383" s="164" t="n"/>
      <c r="L383" s="164" t="n"/>
      <c r="M383" s="164" t="n"/>
    </row>
    <row r="384">
      <c r="A384" s="164" t="n"/>
      <c r="B384" s="164" t="n"/>
      <c r="C384" s="164" t="n"/>
      <c r="D384" s="164" t="n"/>
      <c r="E384" s="164" t="n"/>
      <c r="F384" s="164" t="n"/>
      <c r="G384" s="164" t="n"/>
      <c r="H384" s="164" t="n"/>
      <c r="I384" s="164" t="n"/>
      <c r="J384" s="164" t="n"/>
      <c r="K384" s="164" t="n"/>
      <c r="L384" s="164" t="n"/>
      <c r="M384" s="164" t="n"/>
    </row>
    <row r="385">
      <c r="A385" s="164" t="n"/>
      <c r="B385" s="164" t="n"/>
      <c r="C385" s="164" t="n"/>
      <c r="D385" s="164" t="n"/>
      <c r="E385" s="164" t="n"/>
      <c r="F385" s="164" t="n"/>
      <c r="G385" s="164" t="n"/>
      <c r="H385" s="164" t="n"/>
      <c r="I385" s="164" t="n"/>
      <c r="J385" s="164" t="n"/>
      <c r="K385" s="164" t="n"/>
      <c r="L385" s="164" t="n"/>
      <c r="M385" s="164" t="n"/>
    </row>
    <row r="386">
      <c r="A386" s="164" t="n"/>
      <c r="B386" s="164" t="n"/>
      <c r="C386" s="164" t="n"/>
      <c r="D386" s="164" t="n"/>
      <c r="E386" s="164" t="n"/>
      <c r="F386" s="164" t="n"/>
      <c r="G386" s="164" t="n"/>
      <c r="H386" s="164" t="n"/>
      <c r="I386" s="164" t="n"/>
      <c r="J386" s="164" t="n"/>
      <c r="K386" s="164" t="n"/>
      <c r="L386" s="164" t="n"/>
      <c r="M386" s="164" t="n"/>
    </row>
    <row r="387">
      <c r="A387" s="164" t="n"/>
      <c r="B387" s="164" t="n"/>
      <c r="C387" s="164" t="n"/>
      <c r="D387" s="164" t="n"/>
      <c r="E387" s="164" t="n"/>
      <c r="F387" s="164" t="n"/>
      <c r="G387" s="164" t="n"/>
      <c r="H387" s="164" t="n"/>
      <c r="I387" s="164" t="n"/>
      <c r="J387" s="164" t="n"/>
      <c r="K387" s="164" t="n"/>
      <c r="L387" s="164" t="n"/>
      <c r="M387" s="164" t="n"/>
    </row>
    <row r="388">
      <c r="A388" s="164" t="n"/>
      <c r="B388" s="164" t="n"/>
      <c r="C388" s="164" t="n"/>
      <c r="D388" s="164" t="n"/>
      <c r="E388" s="164" t="n"/>
      <c r="F388" s="164" t="n"/>
      <c r="G388" s="164" t="n"/>
      <c r="H388" s="164" t="n"/>
      <c r="I388" s="164" t="n"/>
      <c r="J388" s="164" t="n"/>
      <c r="K388" s="164" t="n"/>
      <c r="L388" s="164" t="n"/>
      <c r="M388" s="164" t="n"/>
    </row>
    <row r="389">
      <c r="A389" s="164" t="n"/>
      <c r="B389" s="164" t="n"/>
      <c r="C389" s="164" t="n"/>
      <c r="D389" s="164" t="n"/>
      <c r="E389" s="164" t="n"/>
      <c r="F389" s="164" t="n"/>
      <c r="G389" s="164" t="n"/>
      <c r="H389" s="164" t="n"/>
      <c r="I389" s="164" t="n"/>
      <c r="J389" s="164" t="n"/>
      <c r="K389" s="164" t="n"/>
      <c r="L389" s="164" t="n"/>
      <c r="M389" s="164" t="n"/>
    </row>
    <row r="390">
      <c r="A390" s="164" t="n"/>
      <c r="B390" s="164" t="n"/>
      <c r="C390" s="164" t="n"/>
      <c r="D390" s="164" t="n"/>
      <c r="E390" s="164" t="n"/>
      <c r="F390" s="164" t="n"/>
      <c r="G390" s="164" t="n"/>
      <c r="H390" s="164" t="n"/>
      <c r="I390" s="164" t="n"/>
      <c r="J390" s="164" t="n"/>
      <c r="K390" s="164" t="n"/>
      <c r="L390" s="164" t="n"/>
      <c r="M390" s="164" t="n"/>
    </row>
    <row r="391">
      <c r="A391" s="164" t="n"/>
      <c r="B391" s="164" t="n"/>
      <c r="C391" s="164" t="n"/>
      <c r="D391" s="164" t="n"/>
      <c r="E391" s="164" t="n"/>
      <c r="F391" s="164" t="n"/>
      <c r="G391" s="164" t="n"/>
      <c r="H391" s="164" t="n"/>
      <c r="I391" s="164" t="n"/>
      <c r="J391" s="164" t="n"/>
      <c r="K391" s="164" t="n"/>
      <c r="L391" s="164" t="n"/>
      <c r="M391" s="164" t="n"/>
    </row>
    <row r="392">
      <c r="A392" s="164" t="n"/>
      <c r="B392" s="164" t="n"/>
      <c r="C392" s="164" t="n"/>
      <c r="D392" s="164" t="n"/>
      <c r="E392" s="164" t="n"/>
      <c r="F392" s="164" t="n"/>
      <c r="G392" s="164" t="n"/>
      <c r="H392" s="164" t="n"/>
      <c r="I392" s="164" t="n"/>
      <c r="J392" s="164" t="n"/>
      <c r="K392" s="164" t="n"/>
      <c r="L392" s="164" t="n"/>
      <c r="M392" s="164" t="n"/>
    </row>
    <row r="393">
      <c r="A393" s="164" t="n"/>
      <c r="B393" s="164" t="n"/>
      <c r="C393" s="164" t="n"/>
      <c r="D393" s="164" t="n"/>
      <c r="E393" s="164" t="n"/>
      <c r="F393" s="164" t="n"/>
      <c r="G393" s="164" t="n"/>
      <c r="H393" s="164" t="n"/>
      <c r="I393" s="164" t="n"/>
      <c r="J393" s="164" t="n"/>
      <c r="K393" s="164" t="n"/>
      <c r="L393" s="164" t="n"/>
      <c r="M393" s="164" t="n"/>
    </row>
    <row r="394">
      <c r="A394" s="164" t="n"/>
      <c r="B394" s="164" t="n"/>
      <c r="C394" s="164" t="n"/>
      <c r="D394" s="164" t="n"/>
      <c r="E394" s="164" t="n"/>
      <c r="F394" s="164" t="n"/>
      <c r="G394" s="164" t="n"/>
      <c r="H394" s="164" t="n"/>
      <c r="I394" s="164" t="n"/>
      <c r="J394" s="164" t="n"/>
      <c r="K394" s="164" t="n"/>
      <c r="L394" s="164" t="n"/>
      <c r="M394" s="164" t="n"/>
    </row>
    <row r="395">
      <c r="A395" s="164" t="n"/>
      <c r="B395" s="164" t="n"/>
      <c r="C395" s="164" t="n"/>
      <c r="D395" s="164" t="n"/>
      <c r="E395" s="164" t="n"/>
      <c r="F395" s="164" t="n"/>
      <c r="G395" s="164" t="n"/>
      <c r="H395" s="164" t="n"/>
      <c r="I395" s="164" t="n"/>
      <c r="J395" s="164" t="n"/>
      <c r="K395" s="164" t="n"/>
      <c r="L395" s="164" t="n"/>
      <c r="M395" s="164" t="n"/>
    </row>
    <row r="396">
      <c r="A396" s="164" t="n"/>
      <c r="B396" s="164" t="n"/>
      <c r="C396" s="164" t="n"/>
      <c r="D396" s="164" t="n"/>
      <c r="E396" s="164" t="n"/>
      <c r="F396" s="164" t="n"/>
      <c r="G396" s="164" t="n"/>
      <c r="H396" s="164" t="n"/>
      <c r="I396" s="164" t="n"/>
      <c r="J396" s="164" t="n"/>
      <c r="K396" s="164" t="n"/>
      <c r="L396" s="164" t="n"/>
      <c r="M396" s="164" t="n"/>
    </row>
    <row r="397">
      <c r="A397" s="164" t="n"/>
      <c r="B397" s="164" t="n"/>
      <c r="C397" s="164" t="n"/>
      <c r="D397" s="164" t="n"/>
      <c r="E397" s="164" t="n"/>
      <c r="F397" s="164" t="n"/>
      <c r="G397" s="164" t="n"/>
      <c r="H397" s="164" t="n"/>
      <c r="I397" s="164" t="n"/>
      <c r="J397" s="164" t="n"/>
      <c r="K397" s="164" t="n"/>
      <c r="L397" s="164" t="n"/>
      <c r="M397" s="164" t="n"/>
    </row>
    <row r="398">
      <c r="A398" s="164" t="n"/>
      <c r="B398" s="164" t="n"/>
      <c r="C398" s="164" t="n"/>
      <c r="D398" s="164" t="n"/>
      <c r="E398" s="164" t="n"/>
      <c r="F398" s="164" t="n"/>
      <c r="G398" s="164" t="n"/>
      <c r="H398" s="164" t="n"/>
      <c r="I398" s="164" t="n"/>
      <c r="J398" s="164" t="n"/>
      <c r="K398" s="164" t="n"/>
      <c r="L398" s="164" t="n"/>
      <c r="M398" s="164" t="n"/>
    </row>
    <row r="399">
      <c r="A399" s="164" t="n"/>
      <c r="B399" s="164" t="n"/>
      <c r="C399" s="164" t="n"/>
      <c r="D399" s="164" t="n"/>
      <c r="E399" s="164" t="n"/>
      <c r="F399" s="164" t="n"/>
      <c r="G399" s="164" t="n"/>
      <c r="H399" s="164" t="n"/>
      <c r="I399" s="164" t="n"/>
      <c r="J399" s="164" t="n"/>
      <c r="K399" s="164" t="n"/>
      <c r="L399" s="164" t="n"/>
      <c r="M399" s="164" t="n"/>
    </row>
    <row r="400">
      <c r="A400" s="164" t="n"/>
      <c r="B400" s="164" t="n"/>
      <c r="C400" s="164" t="n"/>
      <c r="D400" s="164" t="n"/>
      <c r="E400" s="164" t="n"/>
      <c r="F400" s="164" t="n"/>
      <c r="G400" s="164" t="n"/>
      <c r="H400" s="164" t="n"/>
      <c r="I400" s="164" t="n"/>
      <c r="J400" s="164" t="n"/>
      <c r="K400" s="164" t="n"/>
      <c r="L400" s="164" t="n"/>
      <c r="M400" s="164" t="n"/>
    </row>
    <row r="401">
      <c r="A401" s="164" t="n"/>
      <c r="B401" s="164" t="n"/>
      <c r="C401" s="164" t="n"/>
      <c r="D401" s="164" t="n"/>
      <c r="E401" s="164" t="n"/>
      <c r="F401" s="164" t="n"/>
      <c r="G401" s="164" t="n"/>
      <c r="H401" s="164" t="n"/>
      <c r="I401" s="164" t="n"/>
      <c r="J401" s="164" t="n"/>
      <c r="K401" s="164" t="n"/>
      <c r="L401" s="164" t="n"/>
      <c r="M401" s="164" t="n"/>
    </row>
    <row r="402">
      <c r="A402" s="164" t="n"/>
      <c r="B402" s="164" t="n"/>
      <c r="C402" s="164" t="n"/>
      <c r="D402" s="164" t="n"/>
      <c r="E402" s="164" t="n"/>
      <c r="F402" s="164" t="n"/>
      <c r="G402" s="164" t="n"/>
      <c r="H402" s="164" t="n"/>
      <c r="I402" s="164" t="n"/>
      <c r="J402" s="164" t="n"/>
      <c r="K402" s="164" t="n"/>
      <c r="L402" s="164" t="n"/>
      <c r="M402" s="164" t="n"/>
    </row>
    <row r="403">
      <c r="A403" s="164" t="n"/>
      <c r="B403" s="164" t="n"/>
      <c r="C403" s="164" t="n"/>
      <c r="D403" s="164" t="n"/>
      <c r="E403" s="164" t="n"/>
      <c r="F403" s="164" t="n"/>
      <c r="G403" s="164" t="n"/>
      <c r="H403" s="164" t="n"/>
      <c r="I403" s="164" t="n"/>
      <c r="J403" s="164" t="n"/>
      <c r="K403" s="164" t="n"/>
      <c r="L403" s="164" t="n"/>
      <c r="M403" s="164" t="n"/>
    </row>
    <row r="404">
      <c r="A404" s="164" t="n"/>
      <c r="B404" s="164" t="n"/>
      <c r="C404" s="164" t="n"/>
      <c r="D404" s="164" t="n"/>
      <c r="E404" s="164" t="n"/>
      <c r="F404" s="164" t="n"/>
      <c r="G404" s="164" t="n"/>
      <c r="H404" s="164" t="n"/>
      <c r="I404" s="164" t="n"/>
      <c r="J404" s="164" t="n"/>
      <c r="K404" s="164" t="n"/>
      <c r="L404" s="164" t="n"/>
      <c r="M404" s="164" t="n"/>
    </row>
    <row r="405">
      <c r="A405" s="164" t="n"/>
      <c r="B405" s="164" t="n"/>
      <c r="C405" s="164" t="n"/>
      <c r="D405" s="164" t="n"/>
      <c r="E405" s="164" t="n"/>
      <c r="F405" s="164" t="n"/>
      <c r="G405" s="164" t="n"/>
      <c r="H405" s="164" t="n"/>
      <c r="I405" s="164" t="n"/>
      <c r="J405" s="164" t="n"/>
      <c r="K405" s="164" t="n"/>
      <c r="L405" s="164" t="n"/>
      <c r="M405" s="164" t="n"/>
    </row>
    <row r="406">
      <c r="A406" s="164" t="n"/>
      <c r="B406" s="164" t="n"/>
      <c r="C406" s="164" t="n"/>
      <c r="D406" s="164" t="n"/>
      <c r="E406" s="164" t="n"/>
      <c r="F406" s="164" t="n"/>
      <c r="G406" s="164" t="n"/>
      <c r="H406" s="164" t="n"/>
      <c r="I406" s="164" t="n"/>
      <c r="J406" s="164" t="n"/>
      <c r="K406" s="164" t="n"/>
      <c r="L406" s="164" t="n"/>
      <c r="M406" s="164" t="n"/>
    </row>
    <row r="407">
      <c r="A407" s="164" t="n"/>
      <c r="B407" s="164" t="n"/>
      <c r="C407" s="164" t="n"/>
      <c r="D407" s="164" t="n"/>
      <c r="E407" s="164" t="n"/>
      <c r="F407" s="164" t="n"/>
      <c r="G407" s="164" t="n"/>
      <c r="H407" s="164" t="n"/>
      <c r="I407" s="164" t="n"/>
      <c r="J407" s="164" t="n"/>
      <c r="K407" s="164" t="n"/>
      <c r="L407" s="164" t="n"/>
      <c r="M407" s="164" t="n"/>
    </row>
    <row r="408">
      <c r="A408" s="164" t="n"/>
      <c r="B408" s="164" t="n"/>
      <c r="C408" s="164" t="n"/>
      <c r="D408" s="164" t="n"/>
      <c r="E408" s="164" t="n"/>
      <c r="F408" s="164" t="n"/>
      <c r="G408" s="164" t="n"/>
      <c r="H408" s="164" t="n"/>
      <c r="I408" s="164" t="n"/>
      <c r="J408" s="164" t="n"/>
      <c r="K408" s="164" t="n"/>
      <c r="L408" s="164" t="n"/>
      <c r="M408" s="164" t="n"/>
    </row>
    <row r="409">
      <c r="A409" s="164" t="n"/>
      <c r="B409" s="164" t="n"/>
      <c r="C409" s="164" t="n"/>
      <c r="D409" s="164" t="n"/>
      <c r="E409" s="164" t="n"/>
      <c r="F409" s="164" t="n"/>
      <c r="G409" s="164" t="n"/>
      <c r="H409" s="164" t="n"/>
      <c r="I409" s="164" t="n"/>
      <c r="J409" s="164" t="n"/>
      <c r="K409" s="164" t="n"/>
      <c r="L409" s="164" t="n"/>
      <c r="M409" s="164" t="n"/>
    </row>
    <row r="410">
      <c r="A410" s="164" t="n"/>
      <c r="B410" s="164" t="n"/>
      <c r="C410" s="164" t="n"/>
      <c r="D410" s="164" t="n"/>
      <c r="E410" s="164" t="n"/>
      <c r="F410" s="164" t="n"/>
      <c r="G410" s="164" t="n"/>
      <c r="H410" s="164" t="n"/>
      <c r="I410" s="164" t="n"/>
      <c r="J410" s="164" t="n"/>
      <c r="K410" s="164" t="n"/>
      <c r="L410" s="164" t="n"/>
      <c r="M410" s="164" t="n"/>
    </row>
    <row r="411">
      <c r="A411" s="164" t="n"/>
      <c r="B411" s="164" t="n"/>
      <c r="C411" s="164" t="n"/>
      <c r="D411" s="164" t="n"/>
      <c r="E411" s="164" t="n"/>
      <c r="F411" s="164" t="n"/>
      <c r="G411" s="164" t="n"/>
      <c r="H411" s="164" t="n"/>
      <c r="I411" s="164" t="n"/>
      <c r="J411" s="164" t="n"/>
      <c r="K411" s="164" t="n"/>
      <c r="L411" s="164" t="n"/>
      <c r="M411" s="164" t="n"/>
    </row>
    <row r="412">
      <c r="A412" s="164" t="n"/>
      <c r="B412" s="164" t="n"/>
      <c r="C412" s="164" t="n"/>
      <c r="D412" s="164" t="n"/>
      <c r="E412" s="164" t="n"/>
      <c r="F412" s="164" t="n"/>
      <c r="G412" s="164" t="n"/>
      <c r="H412" s="164" t="n"/>
      <c r="I412" s="164" t="n"/>
      <c r="J412" s="164" t="n"/>
      <c r="K412" s="164" t="n"/>
      <c r="L412" s="164" t="n"/>
      <c r="M412" s="164" t="n"/>
    </row>
    <row r="413">
      <c r="A413" s="164" t="n"/>
      <c r="B413" s="164" t="n"/>
      <c r="C413" s="164" t="n"/>
      <c r="D413" s="164" t="n"/>
      <c r="E413" s="164" t="n"/>
      <c r="F413" s="164" t="n"/>
      <c r="G413" s="164" t="n"/>
      <c r="H413" s="164" t="n"/>
      <c r="I413" s="164" t="n"/>
      <c r="J413" s="164" t="n"/>
      <c r="K413" s="164" t="n"/>
      <c r="L413" s="164" t="n"/>
      <c r="M413" s="164" t="n"/>
    </row>
    <row r="414">
      <c r="A414" s="164" t="n"/>
      <c r="B414" s="164" t="n"/>
      <c r="C414" s="164" t="n"/>
      <c r="D414" s="164" t="n"/>
      <c r="E414" s="164" t="n"/>
      <c r="F414" s="164" t="n"/>
      <c r="G414" s="164" t="n"/>
      <c r="H414" s="164" t="n"/>
      <c r="I414" s="164" t="n"/>
      <c r="J414" s="164" t="n"/>
      <c r="K414" s="164" t="n"/>
      <c r="L414" s="164" t="n"/>
      <c r="M414" s="164" t="n"/>
    </row>
    <row r="415">
      <c r="A415" s="164" t="n"/>
      <c r="B415" s="164" t="n"/>
      <c r="C415" s="164" t="n"/>
      <c r="D415" s="164" t="n"/>
      <c r="E415" s="164" t="n"/>
      <c r="F415" s="164" t="n"/>
      <c r="G415" s="164" t="n"/>
      <c r="H415" s="164" t="n"/>
      <c r="I415" s="164" t="n"/>
      <c r="J415" s="164" t="n"/>
      <c r="K415" s="164" t="n"/>
      <c r="L415" s="164" t="n"/>
      <c r="M415" s="164" t="n"/>
    </row>
    <row r="416">
      <c r="A416" s="164" t="n"/>
      <c r="B416" s="164" t="n"/>
      <c r="C416" s="164" t="n"/>
      <c r="D416" s="164" t="n"/>
      <c r="E416" s="164" t="n"/>
      <c r="F416" s="164" t="n"/>
      <c r="G416" s="164" t="n"/>
      <c r="H416" s="164" t="n"/>
      <c r="I416" s="164" t="n"/>
      <c r="J416" s="164" t="n"/>
      <c r="K416" s="164" t="n"/>
      <c r="L416" s="164" t="n"/>
      <c r="M416" s="164" t="n"/>
    </row>
    <row r="417">
      <c r="A417" s="164" t="n"/>
      <c r="B417" s="164" t="n"/>
      <c r="C417" s="164" t="n"/>
      <c r="D417" s="164" t="n"/>
      <c r="E417" s="164" t="n"/>
      <c r="F417" s="164" t="n"/>
      <c r="G417" s="164" t="n"/>
      <c r="H417" s="164" t="n"/>
      <c r="I417" s="164" t="n"/>
      <c r="J417" s="164" t="n"/>
      <c r="K417" s="164" t="n"/>
      <c r="L417" s="164" t="n"/>
      <c r="M417" s="164" t="n"/>
    </row>
    <row r="418">
      <c r="A418" s="164" t="n"/>
      <c r="B418" s="164" t="n"/>
      <c r="C418" s="164" t="n"/>
      <c r="D418" s="164" t="n"/>
      <c r="E418" s="164" t="n"/>
      <c r="F418" s="164" t="n"/>
      <c r="G418" s="164" t="n"/>
      <c r="H418" s="164" t="n"/>
      <c r="I418" s="164" t="n"/>
      <c r="J418" s="164" t="n"/>
      <c r="K418" s="164" t="n"/>
      <c r="L418" s="164" t="n"/>
      <c r="M418" s="164" t="n"/>
    </row>
    <row r="419">
      <c r="A419" s="164" t="n"/>
      <c r="B419" s="164" t="n"/>
      <c r="C419" s="164" t="n"/>
      <c r="D419" s="164" t="n"/>
      <c r="E419" s="164" t="n"/>
      <c r="F419" s="164" t="n"/>
      <c r="G419" s="164" t="n"/>
      <c r="H419" s="164" t="n"/>
      <c r="I419" s="164" t="n"/>
      <c r="J419" s="164" t="n"/>
      <c r="K419" s="164" t="n"/>
      <c r="L419" s="164" t="n"/>
      <c r="M419" s="164" t="n"/>
    </row>
    <row r="420">
      <c r="A420" s="164" t="n"/>
      <c r="B420" s="164" t="n"/>
      <c r="C420" s="164" t="n"/>
      <c r="D420" s="164" t="n"/>
      <c r="E420" s="164" t="n"/>
      <c r="F420" s="164" t="n"/>
      <c r="G420" s="164" t="n"/>
      <c r="H420" s="164" t="n"/>
      <c r="I420" s="164" t="n"/>
      <c r="J420" s="164" t="n"/>
      <c r="K420" s="164" t="n"/>
      <c r="L420" s="164" t="n"/>
      <c r="M420" s="164" t="n"/>
    </row>
    <row r="421">
      <c r="A421" s="164" t="n"/>
      <c r="B421" s="164" t="n"/>
      <c r="C421" s="164" t="n"/>
      <c r="D421" s="164" t="n"/>
      <c r="E421" s="164" t="n"/>
      <c r="F421" s="164" t="n"/>
      <c r="G421" s="164" t="n"/>
      <c r="H421" s="164" t="n"/>
      <c r="I421" s="164" t="n"/>
      <c r="J421" s="164" t="n"/>
      <c r="K421" s="164" t="n"/>
      <c r="L421" s="164" t="n"/>
      <c r="M421" s="164" t="n"/>
    </row>
    <row r="422">
      <c r="A422" s="164" t="n"/>
      <c r="B422" s="164" t="n"/>
      <c r="C422" s="164" t="n"/>
      <c r="D422" s="164" t="n"/>
      <c r="E422" s="164" t="n"/>
      <c r="F422" s="164" t="n"/>
      <c r="G422" s="164" t="n"/>
      <c r="H422" s="164" t="n"/>
      <c r="I422" s="164" t="n"/>
      <c r="J422" s="164" t="n"/>
      <c r="K422" s="164" t="n"/>
      <c r="L422" s="164" t="n"/>
      <c r="M422" s="164" t="n"/>
    </row>
    <row r="423">
      <c r="A423" s="164" t="n"/>
      <c r="B423" s="164" t="n"/>
      <c r="C423" s="164" t="n"/>
      <c r="D423" s="164" t="n"/>
      <c r="E423" s="164" t="n"/>
      <c r="F423" s="164" t="n"/>
      <c r="G423" s="164" t="n"/>
      <c r="H423" s="164" t="n"/>
      <c r="I423" s="164" t="n"/>
      <c r="J423" s="164" t="n"/>
      <c r="K423" s="164" t="n"/>
      <c r="L423" s="164" t="n"/>
      <c r="M423" s="164" t="n"/>
    </row>
    <row r="424">
      <c r="A424" s="164" t="n"/>
      <c r="B424" s="164" t="n"/>
      <c r="C424" s="164" t="n"/>
      <c r="D424" s="164" t="n"/>
      <c r="E424" s="164" t="n"/>
      <c r="F424" s="164" t="n"/>
      <c r="G424" s="164" t="n"/>
      <c r="H424" s="164" t="n"/>
      <c r="I424" s="164" t="n"/>
      <c r="J424" s="164" t="n"/>
      <c r="K424" s="164" t="n"/>
      <c r="L424" s="164" t="n"/>
      <c r="M424" s="164" t="n"/>
    </row>
    <row r="425">
      <c r="A425" s="164" t="n"/>
      <c r="B425" s="164" t="n"/>
      <c r="C425" s="164" t="n"/>
      <c r="D425" s="164" t="n"/>
      <c r="E425" s="164" t="n"/>
      <c r="F425" s="164" t="n"/>
      <c r="G425" s="164" t="n"/>
      <c r="H425" s="164" t="n"/>
      <c r="I425" s="164" t="n"/>
      <c r="J425" s="164" t="n"/>
      <c r="K425" s="164" t="n"/>
      <c r="L425" s="164" t="n"/>
      <c r="M425" s="164" t="n"/>
    </row>
    <row r="426">
      <c r="A426" s="164" t="n"/>
      <c r="B426" s="164" t="n"/>
      <c r="C426" s="164" t="n"/>
      <c r="D426" s="164" t="n"/>
      <c r="E426" s="164" t="n"/>
      <c r="F426" s="164" t="n"/>
      <c r="G426" s="164" t="n"/>
      <c r="H426" s="164" t="n"/>
      <c r="I426" s="164" t="n"/>
      <c r="J426" s="164" t="n"/>
      <c r="K426" s="164" t="n"/>
      <c r="L426" s="164" t="n"/>
      <c r="M426" s="164" t="n"/>
    </row>
    <row r="427">
      <c r="A427" s="164" t="n"/>
      <c r="B427" s="164" t="n"/>
      <c r="C427" s="164" t="n"/>
      <c r="D427" s="164" t="n"/>
      <c r="E427" s="164" t="n"/>
      <c r="F427" s="164" t="n"/>
      <c r="G427" s="164" t="n"/>
      <c r="H427" s="164" t="n"/>
      <c r="I427" s="164" t="n"/>
      <c r="J427" s="164" t="n"/>
      <c r="K427" s="164" t="n"/>
      <c r="L427" s="164" t="n"/>
      <c r="M427" s="164" t="n"/>
    </row>
    <row r="428">
      <c r="A428" s="164" t="n"/>
      <c r="B428" s="164" t="n"/>
      <c r="C428" s="164" t="n"/>
      <c r="D428" s="164" t="n"/>
      <c r="E428" s="164" t="n"/>
      <c r="F428" s="164" t="n"/>
      <c r="G428" s="164" t="n"/>
      <c r="H428" s="164" t="n"/>
      <c r="I428" s="164" t="n"/>
      <c r="J428" s="164" t="n"/>
      <c r="K428" s="164" t="n"/>
      <c r="L428" s="164" t="n"/>
      <c r="M428" s="164" t="n"/>
    </row>
    <row r="429">
      <c r="A429" s="164" t="n"/>
      <c r="B429" s="164" t="n"/>
      <c r="C429" s="164" t="n"/>
      <c r="D429" s="164" t="n"/>
      <c r="E429" s="164" t="n"/>
      <c r="F429" s="164" t="n"/>
      <c r="G429" s="164" t="n"/>
      <c r="H429" s="164" t="n"/>
      <c r="I429" s="164" t="n"/>
      <c r="J429" s="164" t="n"/>
      <c r="K429" s="164" t="n"/>
      <c r="L429" s="164" t="n"/>
      <c r="M429" s="164" t="n"/>
    </row>
    <row r="430">
      <c r="A430" s="164" t="n"/>
      <c r="B430" s="164" t="n"/>
      <c r="C430" s="164" t="n"/>
      <c r="D430" s="164" t="n"/>
      <c r="E430" s="164" t="n"/>
      <c r="F430" s="164" t="n"/>
      <c r="G430" s="164" t="n"/>
      <c r="H430" s="164" t="n"/>
      <c r="I430" s="164" t="n"/>
      <c r="J430" s="164" t="n"/>
      <c r="K430" s="164" t="n"/>
      <c r="L430" s="164" t="n"/>
      <c r="M430" s="164" t="n"/>
    </row>
    <row r="431">
      <c r="A431" s="164" t="n"/>
      <c r="B431" s="164" t="n"/>
      <c r="C431" s="164" t="n"/>
      <c r="D431" s="164" t="n"/>
      <c r="E431" s="164" t="n"/>
      <c r="F431" s="164" t="n"/>
      <c r="G431" s="164" t="n"/>
      <c r="H431" s="164" t="n"/>
      <c r="I431" s="164" t="n"/>
      <c r="J431" s="164" t="n"/>
      <c r="K431" s="164" t="n"/>
      <c r="L431" s="164" t="n"/>
      <c r="M431" s="164" t="n"/>
    </row>
    <row r="432">
      <c r="A432" s="164" t="n"/>
      <c r="B432" s="164" t="n"/>
      <c r="C432" s="164" t="n"/>
      <c r="D432" s="164" t="n"/>
      <c r="E432" s="164" t="n"/>
      <c r="F432" s="164" t="n"/>
      <c r="G432" s="164" t="n"/>
      <c r="H432" s="164" t="n"/>
      <c r="I432" s="164" t="n"/>
      <c r="J432" s="164" t="n"/>
      <c r="K432" s="164" t="n"/>
      <c r="L432" s="164" t="n"/>
      <c r="M432" s="164" t="n"/>
    </row>
    <row r="433">
      <c r="A433" s="164" t="n"/>
      <c r="B433" s="164" t="n"/>
      <c r="C433" s="164" t="n"/>
      <c r="D433" s="164" t="n"/>
      <c r="E433" s="164" t="n"/>
      <c r="F433" s="164" t="n"/>
      <c r="G433" s="164" t="n"/>
      <c r="H433" s="164" t="n"/>
      <c r="I433" s="164" t="n"/>
      <c r="J433" s="164" t="n"/>
      <c r="K433" s="164" t="n"/>
      <c r="L433" s="164" t="n"/>
      <c r="M433" s="164" t="n"/>
    </row>
    <row r="434">
      <c r="A434" s="164" t="n"/>
      <c r="B434" s="164" t="n"/>
      <c r="C434" s="164" t="n"/>
      <c r="D434" s="164" t="n"/>
      <c r="E434" s="164" t="n"/>
      <c r="F434" s="164" t="n"/>
      <c r="G434" s="164" t="n"/>
      <c r="H434" s="164" t="n"/>
      <c r="I434" s="164" t="n"/>
      <c r="J434" s="164" t="n"/>
      <c r="K434" s="164" t="n"/>
      <c r="L434" s="164" t="n"/>
      <c r="M434" s="164" t="n"/>
    </row>
    <row r="435">
      <c r="A435" s="164" t="n"/>
      <c r="B435" s="164" t="n"/>
      <c r="C435" s="164" t="n"/>
      <c r="D435" s="164" t="n"/>
      <c r="E435" s="164" t="n"/>
      <c r="F435" s="164" t="n"/>
      <c r="G435" s="164" t="n"/>
      <c r="H435" s="164" t="n"/>
      <c r="I435" s="164" t="n"/>
      <c r="J435" s="164" t="n"/>
      <c r="K435" s="164" t="n"/>
      <c r="L435" s="164" t="n"/>
      <c r="M435" s="164" t="n"/>
    </row>
    <row r="436">
      <c r="A436" s="164" t="n"/>
      <c r="B436" s="164" t="n"/>
      <c r="C436" s="164" t="n"/>
      <c r="D436" s="164" t="n"/>
      <c r="E436" s="164" t="n"/>
      <c r="F436" s="164" t="n"/>
      <c r="G436" s="164" t="n"/>
      <c r="H436" s="164" t="n"/>
      <c r="I436" s="164" t="n"/>
      <c r="J436" s="164" t="n"/>
      <c r="K436" s="164" t="n"/>
      <c r="L436" s="164" t="n"/>
      <c r="M436" s="164" t="n"/>
    </row>
    <row r="437">
      <c r="A437" s="164" t="n"/>
      <c r="B437" s="164" t="n"/>
      <c r="C437" s="164" t="n"/>
      <c r="D437" s="164" t="n"/>
      <c r="E437" s="164" t="n"/>
      <c r="F437" s="164" t="n"/>
      <c r="G437" s="164" t="n"/>
      <c r="H437" s="164" t="n"/>
      <c r="I437" s="164" t="n"/>
      <c r="J437" s="164" t="n"/>
      <c r="K437" s="164" t="n"/>
      <c r="L437" s="164" t="n"/>
      <c r="M437" s="164" t="n"/>
    </row>
    <row r="438">
      <c r="A438" s="164" t="n"/>
      <c r="B438" s="164" t="n"/>
      <c r="C438" s="164" t="n"/>
      <c r="D438" s="164" t="n"/>
      <c r="E438" s="164" t="n"/>
      <c r="F438" s="164" t="n"/>
      <c r="G438" s="164" t="n"/>
      <c r="H438" s="164" t="n"/>
      <c r="I438" s="164" t="n"/>
      <c r="J438" s="164" t="n"/>
      <c r="K438" s="164" t="n"/>
      <c r="L438" s="164" t="n"/>
      <c r="M438" s="164" t="n"/>
    </row>
    <row r="439">
      <c r="A439" s="164" t="n"/>
      <c r="B439" s="164" t="n"/>
      <c r="C439" s="164" t="n"/>
      <c r="D439" s="164" t="n"/>
      <c r="E439" s="164" t="n"/>
      <c r="F439" s="164" t="n"/>
      <c r="G439" s="164" t="n"/>
      <c r="H439" s="164" t="n"/>
      <c r="I439" s="164" t="n"/>
      <c r="J439" s="164" t="n"/>
      <c r="K439" s="164" t="n"/>
      <c r="L439" s="164" t="n"/>
      <c r="M439" s="164" t="n"/>
    </row>
    <row r="440">
      <c r="A440" s="164" t="n"/>
      <c r="B440" s="164" t="n"/>
      <c r="C440" s="164" t="n"/>
      <c r="D440" s="164" t="n"/>
      <c r="E440" s="164" t="n"/>
      <c r="F440" s="164" t="n"/>
      <c r="G440" s="164" t="n"/>
      <c r="H440" s="164" t="n"/>
      <c r="I440" s="164" t="n"/>
      <c r="J440" s="164" t="n"/>
      <c r="K440" s="164" t="n"/>
      <c r="L440" s="164" t="n"/>
      <c r="M440" s="164" t="n"/>
    </row>
    <row r="441">
      <c r="A441" s="164" t="n"/>
      <c r="B441" s="164" t="n"/>
      <c r="C441" s="164" t="n"/>
      <c r="D441" s="164" t="n"/>
      <c r="E441" s="164" t="n"/>
      <c r="F441" s="164" t="n"/>
      <c r="G441" s="164" t="n"/>
      <c r="H441" s="164" t="n"/>
      <c r="I441" s="164" t="n"/>
      <c r="J441" s="164" t="n"/>
      <c r="K441" s="164" t="n"/>
      <c r="L441" s="164" t="n"/>
      <c r="M441" s="164" t="n"/>
    </row>
    <row r="442">
      <c r="A442" s="164" t="n"/>
      <c r="B442" s="164" t="n"/>
      <c r="C442" s="164" t="n"/>
      <c r="D442" s="164" t="n"/>
      <c r="E442" s="164" t="n"/>
      <c r="F442" s="164" t="n"/>
      <c r="G442" s="164" t="n"/>
      <c r="H442" s="164" t="n"/>
      <c r="I442" s="164" t="n"/>
      <c r="J442" s="164" t="n"/>
      <c r="K442" s="164" t="n"/>
      <c r="L442" s="164" t="n"/>
      <c r="M442" s="164" t="n"/>
    </row>
    <row r="443">
      <c r="A443" s="164" t="n"/>
      <c r="B443" s="164" t="n"/>
      <c r="C443" s="164" t="n"/>
      <c r="D443" s="164" t="n"/>
      <c r="E443" s="164" t="n"/>
      <c r="F443" s="164" t="n"/>
      <c r="G443" s="164" t="n"/>
      <c r="H443" s="164" t="n"/>
      <c r="I443" s="164" t="n"/>
      <c r="J443" s="164" t="n"/>
      <c r="K443" s="164" t="n"/>
      <c r="L443" s="164" t="n"/>
      <c r="M443" s="164" t="n"/>
    </row>
    <row r="444">
      <c r="A444" s="164" t="n"/>
      <c r="B444" s="164" t="n"/>
      <c r="C444" s="164" t="n"/>
      <c r="D444" s="164" t="n"/>
      <c r="E444" s="164" t="n"/>
      <c r="F444" s="164" t="n"/>
      <c r="G444" s="164" t="n"/>
      <c r="H444" s="164" t="n"/>
      <c r="I444" s="164" t="n"/>
      <c r="J444" s="164" t="n"/>
      <c r="K444" s="164" t="n"/>
      <c r="L444" s="164" t="n"/>
      <c r="M444" s="164" t="n"/>
    </row>
    <row r="445">
      <c r="A445" s="164" t="n"/>
      <c r="B445" s="164" t="n"/>
      <c r="C445" s="164" t="n"/>
      <c r="D445" s="164" t="n"/>
      <c r="E445" s="164" t="n"/>
      <c r="F445" s="164" t="n"/>
      <c r="G445" s="164" t="n"/>
      <c r="H445" s="164" t="n"/>
      <c r="I445" s="164" t="n"/>
      <c r="J445" s="164" t="n"/>
      <c r="K445" s="164" t="n"/>
      <c r="L445" s="164" t="n"/>
      <c r="M445" s="164" t="n"/>
    </row>
    <row r="446">
      <c r="A446" s="164" t="n"/>
      <c r="B446" s="164" t="n"/>
      <c r="C446" s="164" t="n"/>
      <c r="D446" s="164" t="n"/>
      <c r="E446" s="164" t="n"/>
      <c r="F446" s="164" t="n"/>
      <c r="G446" s="164" t="n"/>
      <c r="H446" s="164" t="n"/>
      <c r="I446" s="164" t="n"/>
      <c r="J446" s="164" t="n"/>
      <c r="K446" s="164" t="n"/>
      <c r="L446" s="164" t="n"/>
      <c r="M446" s="164" t="n"/>
    </row>
    <row r="447">
      <c r="A447" s="164" t="n"/>
      <c r="B447" s="164" t="n"/>
      <c r="C447" s="164" t="n"/>
      <c r="D447" s="164" t="n"/>
      <c r="E447" s="164" t="n"/>
      <c r="F447" s="164" t="n"/>
      <c r="G447" s="164" t="n"/>
      <c r="H447" s="164" t="n"/>
      <c r="I447" s="164" t="n"/>
      <c r="J447" s="164" t="n"/>
      <c r="K447" s="164" t="n"/>
      <c r="L447" s="164" t="n"/>
      <c r="M447" s="164" t="n"/>
    </row>
    <row r="448">
      <c r="A448" s="164" t="n"/>
      <c r="B448" s="164" t="n"/>
      <c r="C448" s="164" t="n"/>
      <c r="D448" s="164" t="n"/>
      <c r="E448" s="164" t="n"/>
      <c r="F448" s="164" t="n"/>
      <c r="G448" s="164" t="n"/>
      <c r="H448" s="164" t="n"/>
      <c r="I448" s="164" t="n"/>
      <c r="J448" s="164" t="n"/>
      <c r="K448" s="164" t="n"/>
      <c r="L448" s="164" t="n"/>
      <c r="M448" s="164" t="n"/>
    </row>
    <row r="449">
      <c r="A449" s="164" t="n"/>
      <c r="B449" s="164" t="n"/>
      <c r="C449" s="164" t="n"/>
      <c r="D449" s="164" t="n"/>
      <c r="E449" s="164" t="n"/>
      <c r="F449" s="164" t="n"/>
      <c r="G449" s="164" t="n"/>
      <c r="H449" s="164" t="n"/>
      <c r="I449" s="164" t="n"/>
      <c r="J449" s="164" t="n"/>
      <c r="K449" s="164" t="n"/>
      <c r="L449" s="164" t="n"/>
      <c r="M449" s="164" t="n"/>
    </row>
    <row r="450">
      <c r="A450" s="164" t="n"/>
      <c r="B450" s="164" t="n"/>
      <c r="C450" s="164" t="n"/>
      <c r="D450" s="164" t="n"/>
      <c r="E450" s="164" t="n"/>
      <c r="F450" s="164" t="n"/>
      <c r="G450" s="164" t="n"/>
      <c r="H450" s="164" t="n"/>
      <c r="I450" s="164" t="n"/>
      <c r="J450" s="164" t="n"/>
      <c r="K450" s="164" t="n"/>
      <c r="L450" s="164" t="n"/>
      <c r="M450" s="164" t="n"/>
    </row>
    <row r="451">
      <c r="A451" s="164" t="n"/>
      <c r="B451" s="164" t="n"/>
      <c r="C451" s="164" t="n"/>
      <c r="D451" s="164" t="n"/>
      <c r="E451" s="164" t="n"/>
      <c r="F451" s="164" t="n"/>
      <c r="G451" s="164" t="n"/>
      <c r="H451" s="164" t="n"/>
      <c r="I451" s="164" t="n"/>
      <c r="J451" s="164" t="n"/>
      <c r="K451" s="164" t="n"/>
      <c r="L451" s="164" t="n"/>
      <c r="M451" s="164" t="n"/>
    </row>
    <row r="452">
      <c r="A452" s="164" t="n"/>
      <c r="B452" s="164" t="n"/>
      <c r="C452" s="164" t="n"/>
      <c r="D452" s="164" t="n"/>
      <c r="E452" s="164" t="n"/>
      <c r="F452" s="164" t="n"/>
      <c r="G452" s="164" t="n"/>
      <c r="H452" s="164" t="n"/>
      <c r="I452" s="164" t="n"/>
      <c r="J452" s="164" t="n"/>
      <c r="K452" s="164" t="n"/>
      <c r="L452" s="164" t="n"/>
      <c r="M452" s="164" t="n"/>
    </row>
    <row r="453">
      <c r="A453" s="164" t="n"/>
      <c r="B453" s="164" t="n"/>
      <c r="C453" s="164" t="n"/>
      <c r="D453" s="164" t="n"/>
      <c r="E453" s="164" t="n"/>
      <c r="F453" s="164" t="n"/>
      <c r="G453" s="164" t="n"/>
      <c r="H453" s="164" t="n"/>
      <c r="I453" s="164" t="n"/>
      <c r="J453" s="164" t="n"/>
      <c r="K453" s="164" t="n"/>
      <c r="L453" s="164" t="n"/>
      <c r="M453" s="164" t="n"/>
    </row>
    <row r="454">
      <c r="A454" s="164" t="n"/>
      <c r="B454" s="164" t="n"/>
      <c r="C454" s="164" t="n"/>
      <c r="D454" s="164" t="n"/>
      <c r="E454" s="164" t="n"/>
      <c r="F454" s="164" t="n"/>
      <c r="G454" s="164" t="n"/>
      <c r="H454" s="164" t="n"/>
      <c r="I454" s="164" t="n"/>
      <c r="J454" s="164" t="n"/>
      <c r="K454" s="164" t="n"/>
      <c r="L454" s="164" t="n"/>
      <c r="M454" s="164" t="n"/>
    </row>
    <row r="455">
      <c r="A455" s="164" t="n"/>
      <c r="B455" s="164" t="n"/>
      <c r="C455" s="164" t="n"/>
      <c r="D455" s="164" t="n"/>
      <c r="E455" s="164" t="n"/>
      <c r="F455" s="164" t="n"/>
      <c r="G455" s="164" t="n"/>
      <c r="H455" s="164" t="n"/>
      <c r="I455" s="164" t="n"/>
      <c r="J455" s="164" t="n"/>
      <c r="K455" s="164" t="n"/>
      <c r="L455" s="164" t="n"/>
      <c r="M455" s="164" t="n"/>
    </row>
    <row r="456">
      <c r="A456" s="164" t="n"/>
      <c r="B456" s="164" t="n"/>
      <c r="C456" s="164" t="n"/>
      <c r="D456" s="164" t="n"/>
      <c r="E456" s="164" t="n"/>
      <c r="F456" s="164" t="n"/>
      <c r="G456" s="164" t="n"/>
      <c r="H456" s="164" t="n"/>
      <c r="I456" s="164" t="n"/>
      <c r="J456" s="164" t="n"/>
      <c r="K456" s="164" t="n"/>
      <c r="L456" s="164" t="n"/>
      <c r="M456" s="164" t="n"/>
    </row>
    <row r="457">
      <c r="A457" s="164" t="n"/>
      <c r="B457" s="164" t="n"/>
      <c r="C457" s="164" t="n"/>
      <c r="D457" s="164" t="n"/>
      <c r="E457" s="164" t="n"/>
      <c r="F457" s="164" t="n"/>
      <c r="G457" s="164" t="n"/>
      <c r="H457" s="164" t="n"/>
      <c r="I457" s="164" t="n"/>
      <c r="J457" s="164" t="n"/>
      <c r="K457" s="164" t="n"/>
      <c r="L457" s="164" t="n"/>
      <c r="M457" s="164" t="n"/>
    </row>
    <row r="458">
      <c r="A458" s="164" t="n"/>
      <c r="B458" s="164" t="n"/>
      <c r="C458" s="164" t="n"/>
      <c r="D458" s="164" t="n"/>
      <c r="E458" s="164" t="n"/>
      <c r="F458" s="164" t="n"/>
      <c r="G458" s="164" t="n"/>
      <c r="H458" s="164" t="n"/>
      <c r="I458" s="164" t="n"/>
      <c r="J458" s="164" t="n"/>
      <c r="K458" s="164" t="n"/>
      <c r="L458" s="164" t="n"/>
      <c r="M458" s="164" t="n"/>
    </row>
    <row r="459">
      <c r="A459" s="164" t="n"/>
      <c r="B459" s="164" t="n"/>
      <c r="C459" s="164" t="n"/>
      <c r="D459" s="164" t="n"/>
      <c r="E459" s="164" t="n"/>
      <c r="F459" s="164" t="n"/>
      <c r="G459" s="164" t="n"/>
      <c r="H459" s="164" t="n"/>
      <c r="I459" s="164" t="n"/>
      <c r="J459" s="164" t="n"/>
      <c r="K459" s="164" t="n"/>
      <c r="L459" s="164" t="n"/>
      <c r="M459" s="164" t="n"/>
    </row>
    <row r="460">
      <c r="A460" s="164" t="n"/>
      <c r="B460" s="164" t="n"/>
      <c r="C460" s="164" t="n"/>
      <c r="D460" s="164" t="n"/>
      <c r="E460" s="164" t="n"/>
      <c r="F460" s="164" t="n"/>
      <c r="G460" s="164" t="n"/>
      <c r="H460" s="164" t="n"/>
      <c r="I460" s="164" t="n"/>
      <c r="J460" s="164" t="n"/>
      <c r="K460" s="164" t="n"/>
      <c r="L460" s="164" t="n"/>
      <c r="M460" s="164" t="n"/>
    </row>
    <row r="461">
      <c r="A461" s="164" t="n"/>
      <c r="B461" s="164" t="n"/>
      <c r="C461" s="164" t="n"/>
      <c r="D461" s="164" t="n"/>
      <c r="E461" s="164" t="n"/>
      <c r="F461" s="164" t="n"/>
      <c r="G461" s="164" t="n"/>
      <c r="H461" s="164" t="n"/>
      <c r="I461" s="164" t="n"/>
      <c r="J461" s="164" t="n"/>
      <c r="K461" s="164" t="n"/>
      <c r="L461" s="164" t="n"/>
      <c r="M461" s="164" t="n"/>
    </row>
    <row r="462">
      <c r="A462" s="164" t="n"/>
      <c r="B462" s="164" t="n"/>
      <c r="C462" s="164" t="n"/>
      <c r="D462" s="164" t="n"/>
      <c r="E462" s="164" t="n"/>
      <c r="F462" s="164" t="n"/>
      <c r="G462" s="164" t="n"/>
      <c r="H462" s="164" t="n"/>
      <c r="I462" s="164" t="n"/>
      <c r="J462" s="164" t="n"/>
      <c r="K462" s="164" t="n"/>
      <c r="L462" s="164" t="n"/>
      <c r="M462" s="164" t="n"/>
    </row>
    <row r="463">
      <c r="A463" s="164" t="n"/>
      <c r="B463" s="164" t="n"/>
      <c r="C463" s="164" t="n"/>
      <c r="D463" s="164" t="n"/>
      <c r="E463" s="164" t="n"/>
      <c r="F463" s="164" t="n"/>
      <c r="G463" s="164" t="n"/>
      <c r="H463" s="164" t="n"/>
      <c r="I463" s="164" t="n"/>
      <c r="J463" s="164" t="n"/>
      <c r="K463" s="164" t="n"/>
      <c r="L463" s="164" t="n"/>
      <c r="M463" s="164" t="n"/>
    </row>
    <row r="464">
      <c r="A464" s="164" t="n"/>
      <c r="B464" s="164" t="n"/>
      <c r="C464" s="164" t="n"/>
      <c r="D464" s="164" t="n"/>
      <c r="E464" s="164" t="n"/>
      <c r="F464" s="164" t="n"/>
      <c r="G464" s="164" t="n"/>
      <c r="H464" s="164" t="n"/>
      <c r="I464" s="164" t="n"/>
      <c r="J464" s="164" t="n"/>
      <c r="K464" s="164" t="n"/>
      <c r="L464" s="164" t="n"/>
      <c r="M464" s="164" t="n"/>
    </row>
    <row r="465">
      <c r="A465" s="164" t="n"/>
      <c r="B465" s="164" t="n"/>
      <c r="C465" s="164" t="n"/>
      <c r="D465" s="164" t="n"/>
      <c r="E465" s="164" t="n"/>
      <c r="F465" s="164" t="n"/>
      <c r="G465" s="164" t="n"/>
      <c r="H465" s="164" t="n"/>
      <c r="I465" s="164" t="n"/>
      <c r="J465" s="164" t="n"/>
      <c r="K465" s="164" t="n"/>
      <c r="L465" s="164" t="n"/>
      <c r="M465" s="164" t="n"/>
    </row>
    <row r="466">
      <c r="A466" s="164" t="n"/>
      <c r="B466" s="164" t="n"/>
      <c r="C466" s="164" t="n"/>
      <c r="D466" s="164" t="n"/>
      <c r="E466" s="164" t="n"/>
      <c r="F466" s="164" t="n"/>
      <c r="G466" s="164" t="n"/>
      <c r="H466" s="164" t="n"/>
      <c r="I466" s="164" t="n"/>
      <c r="J466" s="164" t="n"/>
      <c r="K466" s="164" t="n"/>
      <c r="L466" s="164" t="n"/>
      <c r="M466" s="164" t="n"/>
    </row>
    <row r="467">
      <c r="A467" s="164" t="n"/>
      <c r="B467" s="164" t="n"/>
      <c r="C467" s="164" t="n"/>
      <c r="D467" s="164" t="n"/>
      <c r="E467" s="164" t="n"/>
      <c r="F467" s="164" t="n"/>
      <c r="G467" s="164" t="n"/>
      <c r="H467" s="164" t="n"/>
      <c r="I467" s="164" t="n"/>
      <c r="J467" s="164" t="n"/>
      <c r="K467" s="164" t="n"/>
      <c r="L467" s="164" t="n"/>
      <c r="M467" s="164" t="n"/>
    </row>
    <row r="468">
      <c r="A468" s="164" t="n"/>
      <c r="B468" s="164" t="n"/>
      <c r="C468" s="164" t="n"/>
      <c r="D468" s="164" t="n"/>
      <c r="E468" s="164" t="n"/>
      <c r="F468" s="164" t="n"/>
      <c r="G468" s="164" t="n"/>
      <c r="H468" s="164" t="n"/>
      <c r="I468" s="164" t="n"/>
      <c r="J468" s="164" t="n"/>
      <c r="K468" s="164" t="n"/>
      <c r="L468" s="164" t="n"/>
      <c r="M468" s="164" t="n"/>
    </row>
    <row r="469">
      <c r="A469" s="164" t="n"/>
      <c r="B469" s="164" t="n"/>
      <c r="C469" s="164" t="n"/>
      <c r="D469" s="164" t="n"/>
      <c r="E469" s="164" t="n"/>
      <c r="F469" s="164" t="n"/>
      <c r="G469" s="164" t="n"/>
      <c r="H469" s="164" t="n"/>
      <c r="I469" s="164" t="n"/>
      <c r="J469" s="164" t="n"/>
      <c r="K469" s="164" t="n"/>
      <c r="L469" s="164" t="n"/>
      <c r="M469" s="164" t="n"/>
    </row>
    <row r="470">
      <c r="A470" s="164" t="n"/>
      <c r="B470" s="164" t="n"/>
      <c r="C470" s="164" t="n"/>
      <c r="D470" s="164" t="n"/>
      <c r="E470" s="164" t="n"/>
      <c r="F470" s="164" t="n"/>
      <c r="G470" s="164" t="n"/>
      <c r="H470" s="164" t="n"/>
      <c r="I470" s="164" t="n"/>
      <c r="J470" s="164" t="n"/>
      <c r="K470" s="164" t="n"/>
      <c r="L470" s="164" t="n"/>
      <c r="M470" s="164" t="n"/>
    </row>
    <row r="471">
      <c r="A471" s="164" t="n"/>
      <c r="B471" s="164" t="n"/>
      <c r="C471" s="164" t="n"/>
      <c r="D471" s="164" t="n"/>
      <c r="E471" s="164" t="n"/>
      <c r="F471" s="164" t="n"/>
      <c r="G471" s="164" t="n"/>
      <c r="H471" s="164" t="n"/>
      <c r="I471" s="164" t="n"/>
      <c r="J471" s="164" t="n"/>
      <c r="K471" s="164" t="n"/>
      <c r="L471" s="164" t="n"/>
      <c r="M471" s="164" t="n"/>
    </row>
    <row r="472">
      <c r="A472" s="164" t="n"/>
      <c r="B472" s="164" t="n"/>
      <c r="C472" s="164" t="n"/>
      <c r="D472" s="164" t="n"/>
      <c r="E472" s="164" t="n"/>
      <c r="F472" s="164" t="n"/>
      <c r="G472" s="164" t="n"/>
      <c r="H472" s="164" t="n"/>
      <c r="I472" s="164" t="n"/>
      <c r="J472" s="164" t="n"/>
      <c r="K472" s="164" t="n"/>
      <c r="L472" s="164" t="n"/>
      <c r="M472" s="164" t="n"/>
    </row>
    <row r="473">
      <c r="A473" s="164" t="n"/>
      <c r="B473" s="164" t="n"/>
      <c r="C473" s="164" t="n"/>
      <c r="D473" s="164" t="n"/>
      <c r="E473" s="164" t="n"/>
      <c r="F473" s="164" t="n"/>
      <c r="G473" s="164" t="n"/>
      <c r="H473" s="164" t="n"/>
      <c r="I473" s="164" t="n"/>
      <c r="J473" s="164" t="n"/>
      <c r="K473" s="164" t="n"/>
      <c r="L473" s="164" t="n"/>
      <c r="M473" s="164" t="n"/>
    </row>
    <row r="474">
      <c r="A474" s="164" t="n"/>
      <c r="B474" s="164" t="n"/>
      <c r="C474" s="164" t="n"/>
      <c r="D474" s="164" t="n"/>
      <c r="E474" s="164" t="n"/>
      <c r="F474" s="164" t="n"/>
      <c r="G474" s="164" t="n"/>
      <c r="H474" s="164" t="n"/>
      <c r="I474" s="164" t="n"/>
      <c r="J474" s="164" t="n"/>
      <c r="K474" s="164" t="n"/>
      <c r="L474" s="164" t="n"/>
      <c r="M474" s="164" t="n"/>
    </row>
    <row r="475">
      <c r="A475" s="164" t="n"/>
      <c r="B475" s="164" t="n"/>
      <c r="C475" s="164" t="n"/>
      <c r="D475" s="164" t="n"/>
      <c r="E475" s="164" t="n"/>
      <c r="F475" s="164" t="n"/>
      <c r="G475" s="164" t="n"/>
      <c r="H475" s="164" t="n"/>
      <c r="I475" s="164" t="n"/>
      <c r="J475" s="164" t="n"/>
      <c r="K475" s="164" t="n"/>
      <c r="L475" s="164" t="n"/>
      <c r="M475" s="164" t="n"/>
    </row>
    <row r="476">
      <c r="A476" s="164" t="n"/>
      <c r="B476" s="164" t="n"/>
      <c r="C476" s="164" t="n"/>
      <c r="D476" s="164" t="n"/>
      <c r="E476" s="164" t="n"/>
      <c r="F476" s="164" t="n"/>
      <c r="G476" s="164" t="n"/>
      <c r="H476" s="164" t="n"/>
      <c r="I476" s="164" t="n"/>
      <c r="J476" s="164" t="n"/>
      <c r="K476" s="164" t="n"/>
      <c r="L476" s="164" t="n"/>
      <c r="M476" s="164" t="n"/>
    </row>
    <row r="477">
      <c r="A477" s="164" t="n"/>
      <c r="B477" s="164" t="n"/>
      <c r="C477" s="164" t="n"/>
      <c r="D477" s="164" t="n"/>
      <c r="E477" s="164" t="n"/>
      <c r="F477" s="164" t="n"/>
      <c r="G477" s="164" t="n"/>
      <c r="H477" s="164" t="n"/>
      <c r="I477" s="164" t="n"/>
      <c r="J477" s="164" t="n"/>
      <c r="K477" s="164" t="n"/>
      <c r="L477" s="164" t="n"/>
      <c r="M477" s="164" t="n"/>
    </row>
    <row r="478">
      <c r="A478" s="164" t="n"/>
      <c r="B478" s="164" t="n"/>
      <c r="C478" s="164" t="n"/>
      <c r="D478" s="164" t="n"/>
      <c r="E478" s="164" t="n"/>
      <c r="F478" s="164" t="n"/>
      <c r="G478" s="164" t="n"/>
      <c r="H478" s="164" t="n"/>
      <c r="I478" s="164" t="n"/>
      <c r="J478" s="164" t="n"/>
      <c r="K478" s="164" t="n"/>
      <c r="L478" s="164" t="n"/>
      <c r="M478" s="164" t="n"/>
    </row>
    <row r="479">
      <c r="A479" s="164" t="n"/>
      <c r="B479" s="164" t="n"/>
      <c r="C479" s="164" t="n"/>
      <c r="D479" s="164" t="n"/>
      <c r="E479" s="164" t="n"/>
      <c r="F479" s="164" t="n"/>
      <c r="G479" s="164" t="n"/>
      <c r="H479" s="164" t="n"/>
      <c r="I479" s="164" t="n"/>
      <c r="J479" s="164" t="n"/>
      <c r="K479" s="164" t="n"/>
      <c r="L479" s="164" t="n"/>
      <c r="M479" s="164" t="n"/>
    </row>
    <row r="480">
      <c r="A480" s="164" t="n"/>
      <c r="B480" s="164" t="n"/>
      <c r="C480" s="164" t="n"/>
      <c r="D480" s="164" t="n"/>
      <c r="E480" s="164" t="n"/>
      <c r="F480" s="164" t="n"/>
      <c r="G480" s="164" t="n"/>
      <c r="H480" s="164" t="n"/>
      <c r="I480" s="164" t="n"/>
      <c r="J480" s="164" t="n"/>
      <c r="K480" s="164" t="n"/>
      <c r="L480" s="164" t="n"/>
      <c r="M480" s="164" t="n"/>
    </row>
    <row r="481">
      <c r="A481" s="164" t="n"/>
      <c r="B481" s="164" t="n"/>
      <c r="C481" s="164" t="n"/>
      <c r="D481" s="164" t="n"/>
      <c r="E481" s="164" t="n"/>
      <c r="F481" s="164" t="n"/>
      <c r="G481" s="164" t="n"/>
      <c r="H481" s="164" t="n"/>
      <c r="I481" s="164" t="n"/>
      <c r="J481" s="164" t="n"/>
      <c r="K481" s="164" t="n"/>
      <c r="L481" s="164" t="n"/>
      <c r="M481" s="164" t="n"/>
    </row>
    <row r="482">
      <c r="A482" s="164" t="n"/>
      <c r="B482" s="164" t="n"/>
      <c r="C482" s="164" t="n"/>
      <c r="D482" s="164" t="n"/>
      <c r="E482" s="164" t="n"/>
      <c r="F482" s="164" t="n"/>
      <c r="G482" s="164" t="n"/>
      <c r="H482" s="164" t="n"/>
      <c r="I482" s="164" t="n"/>
      <c r="J482" s="164" t="n"/>
      <c r="K482" s="164" t="n"/>
      <c r="L482" s="164" t="n"/>
      <c r="M482" s="164" t="n"/>
    </row>
    <row r="483">
      <c r="A483" s="164" t="n"/>
      <c r="B483" s="164" t="n"/>
      <c r="C483" s="164" t="n"/>
      <c r="D483" s="164" t="n"/>
      <c r="E483" s="164" t="n"/>
      <c r="F483" s="164" t="n"/>
      <c r="G483" s="164" t="n"/>
      <c r="H483" s="164" t="n"/>
      <c r="I483" s="164" t="n"/>
      <c r="J483" s="164" t="n"/>
      <c r="K483" s="164" t="n"/>
      <c r="L483" s="164" t="n"/>
      <c r="M483" s="164" t="n"/>
    </row>
    <row r="484">
      <c r="A484" s="164" t="n"/>
      <c r="B484" s="164" t="n"/>
      <c r="C484" s="164" t="n"/>
      <c r="D484" s="164" t="n"/>
      <c r="E484" s="164" t="n"/>
      <c r="F484" s="164" t="n"/>
      <c r="G484" s="164" t="n"/>
      <c r="H484" s="164" t="n"/>
      <c r="I484" s="164" t="n"/>
      <c r="J484" s="164" t="n"/>
      <c r="K484" s="164" t="n"/>
      <c r="L484" s="164" t="n"/>
      <c r="M484" s="164" t="n"/>
    </row>
    <row r="485">
      <c r="A485" s="164" t="n"/>
      <c r="B485" s="164" t="n"/>
      <c r="C485" s="164" t="n"/>
      <c r="D485" s="164" t="n"/>
      <c r="E485" s="164" t="n"/>
      <c r="F485" s="164" t="n"/>
      <c r="G485" s="164" t="n"/>
      <c r="H485" s="164" t="n"/>
      <c r="I485" s="164" t="n"/>
      <c r="J485" s="164" t="n"/>
      <c r="K485" s="164" t="n"/>
      <c r="L485" s="164" t="n"/>
      <c r="M485" s="164" t="n"/>
    </row>
    <row r="486">
      <c r="A486" s="164" t="n"/>
      <c r="B486" s="164" t="n"/>
      <c r="C486" s="164" t="n"/>
      <c r="D486" s="164" t="n"/>
      <c r="E486" s="164" t="n"/>
      <c r="F486" s="164" t="n"/>
      <c r="G486" s="164" t="n"/>
      <c r="H486" s="164" t="n"/>
      <c r="I486" s="164" t="n"/>
      <c r="J486" s="164" t="n"/>
      <c r="K486" s="164" t="n"/>
      <c r="L486" s="164" t="n"/>
      <c r="M486" s="164" t="n"/>
    </row>
    <row r="487">
      <c r="A487" s="164" t="n"/>
      <c r="B487" s="164" t="n"/>
      <c r="C487" s="164" t="n"/>
      <c r="D487" s="164" t="n"/>
      <c r="E487" s="164" t="n"/>
      <c r="F487" s="164" t="n"/>
      <c r="G487" s="164" t="n"/>
      <c r="H487" s="164" t="n"/>
      <c r="I487" s="164" t="n"/>
      <c r="J487" s="164" t="n"/>
      <c r="K487" s="164" t="n"/>
      <c r="L487" s="164" t="n"/>
      <c r="M487" s="164" t="n"/>
    </row>
    <row r="488">
      <c r="A488" s="164" t="n"/>
      <c r="B488" s="164" t="n"/>
      <c r="C488" s="164" t="n"/>
      <c r="D488" s="164" t="n"/>
      <c r="E488" s="164" t="n"/>
      <c r="F488" s="164" t="n"/>
      <c r="G488" s="164" t="n"/>
      <c r="H488" s="164" t="n"/>
      <c r="I488" s="164" t="n"/>
      <c r="J488" s="164" t="n"/>
      <c r="K488" s="164" t="n"/>
      <c r="L488" s="164" t="n"/>
      <c r="M488" s="164" t="n"/>
    </row>
    <row r="489">
      <c r="A489" s="164" t="n"/>
      <c r="B489" s="164" t="n"/>
      <c r="C489" s="164" t="n"/>
      <c r="D489" s="164" t="n"/>
      <c r="E489" s="164" t="n"/>
      <c r="F489" s="164" t="n"/>
      <c r="G489" s="164" t="n"/>
      <c r="H489" s="164" t="n"/>
      <c r="I489" s="164" t="n"/>
      <c r="J489" s="164" t="n"/>
      <c r="K489" s="164" t="n"/>
      <c r="L489" s="164" t="n"/>
      <c r="M489" s="164" t="n"/>
    </row>
    <row r="490">
      <c r="A490" s="164" t="n"/>
      <c r="B490" s="164" t="n"/>
      <c r="C490" s="164" t="n"/>
      <c r="D490" s="164" t="n"/>
      <c r="E490" s="164" t="n"/>
      <c r="F490" s="164" t="n"/>
      <c r="G490" s="164" t="n"/>
      <c r="H490" s="164" t="n"/>
      <c r="I490" s="164" t="n"/>
      <c r="J490" s="164" t="n"/>
      <c r="K490" s="164" t="n"/>
      <c r="L490" s="164" t="n"/>
      <c r="M490" s="164" t="n"/>
    </row>
    <row r="491">
      <c r="A491" s="164" t="n"/>
      <c r="B491" s="164" t="n"/>
      <c r="C491" s="164" t="n"/>
      <c r="D491" s="164" t="n"/>
      <c r="E491" s="164" t="n"/>
      <c r="F491" s="164" t="n"/>
      <c r="G491" s="164" t="n"/>
      <c r="H491" s="164" t="n"/>
      <c r="I491" s="164" t="n"/>
      <c r="J491" s="164" t="n"/>
      <c r="K491" s="164" t="n"/>
      <c r="L491" s="164" t="n"/>
      <c r="M491" s="164" t="n"/>
    </row>
    <row r="492">
      <c r="A492" s="164" t="n"/>
      <c r="B492" s="164" t="n"/>
      <c r="C492" s="164" t="n"/>
      <c r="D492" s="164" t="n"/>
      <c r="E492" s="164" t="n"/>
      <c r="F492" s="164" t="n"/>
      <c r="G492" s="164" t="n"/>
      <c r="H492" s="164" t="n"/>
      <c r="I492" s="164" t="n"/>
      <c r="J492" s="164" t="n"/>
      <c r="K492" s="164" t="n"/>
      <c r="L492" s="164" t="n"/>
      <c r="M492" s="164" t="n"/>
    </row>
    <row r="493">
      <c r="A493" s="164" t="n"/>
      <c r="B493" s="164" t="n"/>
      <c r="C493" s="164" t="n"/>
      <c r="D493" s="164" t="n"/>
      <c r="E493" s="164" t="n"/>
      <c r="F493" s="164" t="n"/>
      <c r="G493" s="164" t="n"/>
      <c r="H493" s="164" t="n"/>
      <c r="I493" s="164" t="n"/>
      <c r="J493" s="164" t="n"/>
      <c r="K493" s="164" t="n"/>
      <c r="L493" s="164" t="n"/>
      <c r="M493" s="164" t="n"/>
    </row>
    <row r="494">
      <c r="A494" s="164" t="n"/>
      <c r="B494" s="164" t="n"/>
      <c r="C494" s="164" t="n"/>
      <c r="D494" s="164" t="n"/>
      <c r="E494" s="164" t="n"/>
      <c r="F494" s="164" t="n"/>
      <c r="G494" s="164" t="n"/>
      <c r="H494" s="164" t="n"/>
      <c r="I494" s="164" t="n"/>
      <c r="J494" s="164" t="n"/>
      <c r="K494" s="164" t="n"/>
      <c r="L494" s="164" t="n"/>
      <c r="M494" s="164" t="n"/>
    </row>
    <row r="495">
      <c r="A495" s="164" t="n"/>
      <c r="B495" s="164" t="n"/>
      <c r="C495" s="164" t="n"/>
      <c r="D495" s="164" t="n"/>
      <c r="E495" s="164" t="n"/>
      <c r="F495" s="164" t="n"/>
      <c r="G495" s="164" t="n"/>
      <c r="H495" s="164" t="n"/>
      <c r="I495" s="164" t="n"/>
      <c r="J495" s="164" t="n"/>
      <c r="K495" s="164" t="n"/>
      <c r="L495" s="164" t="n"/>
      <c r="M495" s="164" t="n"/>
    </row>
    <row r="496">
      <c r="A496" s="164" t="n"/>
      <c r="B496" s="164" t="n"/>
      <c r="C496" s="164" t="n"/>
      <c r="D496" s="164" t="n"/>
      <c r="E496" s="164" t="n"/>
      <c r="F496" s="164" t="n"/>
      <c r="G496" s="164" t="n"/>
      <c r="H496" s="164" t="n"/>
      <c r="I496" s="164" t="n"/>
      <c r="J496" s="164" t="n"/>
      <c r="K496" s="164" t="n"/>
      <c r="L496" s="164" t="n"/>
      <c r="M496" s="164" t="n"/>
    </row>
    <row r="497">
      <c r="A497" s="164" t="n"/>
      <c r="B497" s="164" t="n"/>
      <c r="C497" s="164" t="n"/>
      <c r="D497" s="164" t="n"/>
      <c r="E497" s="164" t="n"/>
      <c r="F497" s="164" t="n"/>
      <c r="G497" s="164" t="n"/>
      <c r="H497" s="164" t="n"/>
      <c r="I497" s="164" t="n"/>
      <c r="J497" s="164" t="n"/>
      <c r="K497" s="164" t="n"/>
      <c r="L497" s="164" t="n"/>
      <c r="M497" s="164" t="n"/>
    </row>
    <row r="498">
      <c r="A498" s="164" t="n"/>
      <c r="B498" s="164" t="n"/>
      <c r="C498" s="164" t="n"/>
      <c r="D498" s="164" t="n"/>
      <c r="E498" s="164" t="n"/>
      <c r="F498" s="164" t="n"/>
      <c r="G498" s="164" t="n"/>
      <c r="H498" s="164" t="n"/>
      <c r="I498" s="164" t="n"/>
      <c r="J498" s="164" t="n"/>
      <c r="K498" s="164" t="n"/>
      <c r="L498" s="164" t="n"/>
      <c r="M498" s="164" t="n"/>
    </row>
    <row r="499">
      <c r="A499" s="164" t="n"/>
      <c r="B499" s="164" t="n"/>
      <c r="C499" s="164" t="n"/>
      <c r="D499" s="164" t="n"/>
      <c r="E499" s="164" t="n"/>
      <c r="F499" s="164" t="n"/>
      <c r="G499" s="164" t="n"/>
      <c r="H499" s="164" t="n"/>
      <c r="I499" s="164" t="n"/>
      <c r="J499" s="164" t="n"/>
      <c r="K499" s="164" t="n"/>
      <c r="L499" s="164" t="n"/>
      <c r="M499" s="164" t="n"/>
    </row>
    <row r="500">
      <c r="A500" s="164" t="n"/>
      <c r="B500" s="164" t="n"/>
      <c r="C500" s="164" t="n"/>
      <c r="D500" s="164" t="n"/>
      <c r="E500" s="164" t="n"/>
      <c r="F500" s="164" t="n"/>
      <c r="G500" s="164" t="n"/>
      <c r="H500" s="164" t="n"/>
      <c r="I500" s="164" t="n"/>
      <c r="J500" s="164" t="n"/>
      <c r="K500" s="164" t="n"/>
      <c r="L500" s="164" t="n"/>
      <c r="M500" s="164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/>
  <autoFilter ref="A3:M500"/>
  <mergeCells count="3">
    <mergeCell ref="O14:P15"/>
    <mergeCell ref="O1:R1"/>
    <mergeCell ref="A1:M1"/>
  </mergeCells>
  <dataValidations count="2">
    <dataValidation sqref="L4:L500" showDropDown="0" showInputMessage="0" showErrorMessage="0" allowBlank="0" type="list">
      <formula1>"PARTICULIER,ENTREPRISE"</formula1>
    </dataValidation>
    <dataValidation sqref="P12" showDropDown="0" showInputMessage="0" showErrorMessage="0" allowBlank="0" type="list">
      <formula1>"PARTICULIER,ENTREPRISE"</formula1>
    </dataValidation>
  </dataValidations>
  <pageMargins left="0.3" right="0.3" top="0.4" bottom="0.4" header="0.3" footer="0.3"/>
  <pageSetup orientation="landscape" paperSize="9" fitToHeight="0" fitToWidth="1"/>
  <headerFooter>
    <oddHeader/>
    <oddFooter>&amp;L&amp;8 KATANGA TECHCARE&amp;R&amp;8 Page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FF6B7280"/>
    <outlinePr summaryBelow="1" summaryRight="1"/>
    <pageSetUpPr fitToPage="1"/>
  </sheetPr>
  <dimension ref="A1:U50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2" max="2"/>
    <col width="22" customWidth="1" min="4" max="4"/>
    <col width="28" customWidth="1" min="15" max="15"/>
    <col width="28" customWidth="1" min="16" max="16"/>
  </cols>
  <sheetData>
    <row r="1" ht="26" customHeight="1">
      <c r="A1" s="9" t="inlineStr">
        <is>
          <t>BASE DE DONNÉES ARTICLES / SERVICES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R1" s="27" t="inlineStr">
        <is>
          <t>FORMULAIRE — NOUVEL ARTICLE</t>
        </is>
      </c>
      <c r="S1" s="1" t="n"/>
      <c r="T1" s="1" t="n"/>
      <c r="U1" s="1" t="n"/>
    </row>
    <row r="3" ht="24" customHeight="1">
      <c r="A3" s="14" t="inlineStr">
        <is>
          <t>Référence</t>
        </is>
      </c>
      <c r="B3" s="14" t="inlineStr">
        <is>
          <t>Désignation</t>
        </is>
      </c>
      <c r="C3" s="14" t="inlineStr">
        <is>
          <t>Catégorie</t>
        </is>
      </c>
      <c r="D3" s="14" t="inlineStr">
        <is>
          <t>Fournisseur</t>
        </is>
      </c>
      <c r="E3" s="14" t="inlineStr">
        <is>
          <t>Coût achat unitaire</t>
        </is>
      </c>
      <c r="F3" s="14" t="inlineStr">
        <is>
          <t>Transport unitaire</t>
        </is>
      </c>
      <c r="G3" s="14" t="inlineStr">
        <is>
          <t>Autres frais</t>
        </is>
      </c>
      <c r="H3" s="14" t="inlineStr">
        <is>
          <t>Coût de revient</t>
        </is>
      </c>
      <c r="I3" s="14" t="inlineStr">
        <is>
          <t>Marge %</t>
        </is>
      </c>
      <c r="J3" s="14" t="inlineStr">
        <is>
          <t>Prix vente conseillé</t>
        </is>
      </c>
      <c r="K3" s="14" t="inlineStr">
        <is>
          <t>Qté entrée</t>
        </is>
      </c>
      <c r="L3" s="14" t="inlineStr">
        <is>
          <t>Qté sortie</t>
        </is>
      </c>
      <c r="M3" s="14" t="inlineStr">
        <is>
          <t>Stock disponible</t>
        </is>
      </c>
      <c r="N3" s="14" t="inlineStr">
        <is>
          <t>Seuil alerte</t>
        </is>
      </c>
      <c r="O3" s="14" t="inlineStr">
        <is>
          <t>Garantie</t>
        </is>
      </c>
      <c r="P3" s="14" t="inlineStr">
        <is>
          <t>Observation</t>
        </is>
      </c>
      <c r="R3" s="14" t="inlineStr">
        <is>
          <t>Champ</t>
        </is>
      </c>
      <c r="S3" s="14" t="inlineStr">
        <is>
          <t>Saisie</t>
        </is>
      </c>
    </row>
    <row r="4">
      <c r="A4" s="164" t="inlineStr">
        <is>
          <t>ART-0001</t>
        </is>
      </c>
      <c r="B4" s="164" t="inlineStr">
        <is>
          <t>Radio Android Mercedes-Benz</t>
        </is>
      </c>
      <c r="C4" s="164" t="inlineStr">
        <is>
          <t>Auto / Multimédia</t>
        </is>
      </c>
      <c r="D4" s="164" t="inlineStr">
        <is>
          <t>Fournisseur A</t>
        </is>
      </c>
      <c r="E4" s="166" t="n">
        <v>100</v>
      </c>
      <c r="F4" s="166" t="n">
        <v>20</v>
      </c>
      <c r="G4" s="166" t="n">
        <v>0</v>
      </c>
      <c r="H4" s="167">
        <f>E4+F4+G4</f>
        <v/>
      </c>
      <c r="I4" s="168" t="n">
        <v>0.3</v>
      </c>
      <c r="J4" s="167">
        <f>H4*(1+I4)</f>
        <v/>
      </c>
      <c r="K4" s="169" t="n">
        <v>5</v>
      </c>
      <c r="L4" s="170">
        <f>SUMIFS('HISTORIQUE DOCS'!$H$4:$H$1000,'HISTORIQUE DOCS'!$F$4:$F$1000,A4,'HISTORIQUE DOCS'!$C$4:$C$1000,"FACTURE",'HISTORIQUE DOCS'!$P$4:$P$1000,"VALIDÉ")</f>
        <v/>
      </c>
      <c r="M4" s="170">
        <f>K4-L4</f>
        <v/>
      </c>
      <c r="N4" s="169" t="n">
        <v>2</v>
      </c>
      <c r="O4" s="164" t="inlineStr">
        <is>
          <t>Selon modèle</t>
        </is>
      </c>
      <c r="P4" s="164" t="str"/>
      <c r="R4" s="31" t="inlineStr">
        <is>
          <t>Désignation</t>
        </is>
      </c>
      <c r="S4" s="165" t="str"/>
    </row>
    <row r="5">
      <c r="A5" s="164" t="inlineStr">
        <is>
          <t>ART-0002</t>
        </is>
      </c>
      <c r="B5" s="164" t="inlineStr">
        <is>
          <t>Jante auto + capuchon central</t>
        </is>
      </c>
      <c r="C5" s="164" t="inlineStr">
        <is>
          <t>Auto / Jantes</t>
        </is>
      </c>
      <c r="D5" s="164" t="inlineStr">
        <is>
          <t>Fournisseur B</t>
        </is>
      </c>
      <c r="E5" s="166" t="n">
        <v>250</v>
      </c>
      <c r="F5" s="166" t="n">
        <v>50</v>
      </c>
      <c r="G5" s="166" t="n">
        <v>0</v>
      </c>
      <c r="H5" s="167">
        <f>E5+F5+G5</f>
        <v/>
      </c>
      <c r="I5" s="168" t="n">
        <v>0.3</v>
      </c>
      <c r="J5" s="167">
        <f>H5*(1+I5)</f>
        <v/>
      </c>
      <c r="K5" s="169" t="n">
        <v>8</v>
      </c>
      <c r="L5" s="170">
        <f>SUMIFS('HISTORIQUE DOCS'!$H$4:$H$1000,'HISTORIQUE DOCS'!$F$4:$F$1000,A5,'HISTORIQUE DOCS'!$C$4:$C$1000,"FACTURE",'HISTORIQUE DOCS'!$P$4:$P$1000,"VALIDÉ")</f>
        <v/>
      </c>
      <c r="M5" s="170">
        <f>K5-L5</f>
        <v/>
      </c>
      <c r="N5" s="169" t="n">
        <v>2</v>
      </c>
      <c r="O5" s="164" t="inlineStr">
        <is>
          <t>3 ans finition / structure à vie</t>
        </is>
      </c>
      <c r="P5" s="164" t="str"/>
      <c r="R5" s="31" t="inlineStr">
        <is>
          <t>Catégorie</t>
        </is>
      </c>
      <c r="S5" s="165" t="str"/>
    </row>
    <row r="6">
      <c r="A6" s="164" t="inlineStr">
        <is>
          <t>ART-0003</t>
        </is>
      </c>
      <c r="B6" s="164" t="inlineStr">
        <is>
          <t>Samsung Galaxy A17 128G + 6G</t>
        </is>
      </c>
      <c r="C6" s="164" t="inlineStr">
        <is>
          <t>Téléphone</t>
        </is>
      </c>
      <c r="D6" s="164" t="inlineStr">
        <is>
          <t>Fournisseur C</t>
        </is>
      </c>
      <c r="E6" s="166" t="n">
        <v>220</v>
      </c>
      <c r="F6" s="166" t="n">
        <v>15</v>
      </c>
      <c r="G6" s="166" t="n">
        <v>0</v>
      </c>
      <c r="H6" s="167">
        <f>E6+F6+G6</f>
        <v/>
      </c>
      <c r="I6" s="168" t="n">
        <v>0.3</v>
      </c>
      <c r="J6" s="167">
        <f>H6*(1+I6)</f>
        <v/>
      </c>
      <c r="K6" s="169" t="n">
        <v>6</v>
      </c>
      <c r="L6" s="170">
        <f>SUMIFS('HISTORIQUE DOCS'!$H$4:$H$1000,'HISTORIQUE DOCS'!$F$4:$F$1000,A6,'HISTORIQUE DOCS'!$C$4:$C$1000,"FACTURE",'HISTORIQUE DOCS'!$P$4:$P$1000,"VALIDÉ")</f>
        <v/>
      </c>
      <c r="M6" s="170">
        <f>K6-L6</f>
        <v/>
      </c>
      <c r="N6" s="169" t="n">
        <v>2</v>
      </c>
      <c r="O6" s="164" t="inlineStr">
        <is>
          <t>12 mois</t>
        </is>
      </c>
      <c r="P6" s="164" t="str"/>
      <c r="R6" s="31" t="inlineStr">
        <is>
          <t>Fournisseur</t>
        </is>
      </c>
      <c r="S6" s="165" t="str"/>
    </row>
    <row r="7">
      <c r="A7" s="164" t="inlineStr">
        <is>
          <t>SRV-0001</t>
        </is>
      </c>
      <c r="B7" s="164" t="inlineStr">
        <is>
          <t>Diagnostic automobile</t>
        </is>
      </c>
      <c r="C7" s="164" t="inlineStr">
        <is>
          <t>Service</t>
        </is>
      </c>
      <c r="D7" s="164" t="inlineStr">
        <is>
          <t>Interne</t>
        </is>
      </c>
      <c r="E7" s="166" t="n">
        <v>0</v>
      </c>
      <c r="F7" s="166" t="n">
        <v>0</v>
      </c>
      <c r="G7" s="166" t="n">
        <v>0</v>
      </c>
      <c r="H7" s="167">
        <f>E7+F7+G7</f>
        <v/>
      </c>
      <c r="I7" s="168" t="n">
        <v>1</v>
      </c>
      <c r="J7" s="167">
        <f>H7*(1+I7)</f>
        <v/>
      </c>
      <c r="K7" s="169" t="n">
        <v>999</v>
      </c>
      <c r="L7" s="170">
        <f>SUMIFS('HISTORIQUE DOCS'!$H$4:$H$1000,'HISTORIQUE DOCS'!$F$4:$F$1000,A7,'HISTORIQUE DOCS'!$C$4:$C$1000,"FACTURE",'HISTORIQUE DOCS'!$P$4:$P$1000,"VALIDÉ")</f>
        <v/>
      </c>
      <c r="M7" s="170">
        <f>K7-L7</f>
        <v/>
      </c>
      <c r="N7" s="169" t="n">
        <v>0</v>
      </c>
      <c r="O7" s="164" t="inlineStr">
        <is>
          <t>Service</t>
        </is>
      </c>
      <c r="P7" s="164" t="str"/>
      <c r="R7" s="31" t="inlineStr">
        <is>
          <t>Coût achat</t>
        </is>
      </c>
      <c r="S7" s="165" t="str"/>
    </row>
    <row r="8">
      <c r="A8" s="164" t="inlineStr">
        <is>
          <t>SRV-0002</t>
        </is>
      </c>
      <c r="B8" s="164" t="inlineStr">
        <is>
          <t>Installation radio Android</t>
        </is>
      </c>
      <c r="C8" s="164" t="inlineStr">
        <is>
          <t>Service</t>
        </is>
      </c>
      <c r="D8" s="164" t="inlineStr">
        <is>
          <t>Interne</t>
        </is>
      </c>
      <c r="E8" s="166" t="n">
        <v>0</v>
      </c>
      <c r="F8" s="166" t="n">
        <v>0</v>
      </c>
      <c r="G8" s="166" t="n">
        <v>0</v>
      </c>
      <c r="H8" s="167">
        <f>E8+F8+G8</f>
        <v/>
      </c>
      <c r="I8" s="168" t="n">
        <v>1</v>
      </c>
      <c r="J8" s="167">
        <f>H8*(1+I8)</f>
        <v/>
      </c>
      <c r="K8" s="169" t="n">
        <v>999</v>
      </c>
      <c r="L8" s="170">
        <f>SUMIFS('HISTORIQUE DOCS'!$H$4:$H$1000,'HISTORIQUE DOCS'!$F$4:$F$1000,A8,'HISTORIQUE DOCS'!$C$4:$C$1000,"FACTURE",'HISTORIQUE DOCS'!$P$4:$P$1000,"VALIDÉ")</f>
        <v/>
      </c>
      <c r="M8" s="170">
        <f>K8-L8</f>
        <v/>
      </c>
      <c r="N8" s="169" t="n">
        <v>0</v>
      </c>
      <c r="O8" s="164" t="inlineStr">
        <is>
          <t>Service</t>
        </is>
      </c>
      <c r="P8" s="164" t="str"/>
      <c r="R8" s="31" t="inlineStr">
        <is>
          <t>Transport unitaire</t>
        </is>
      </c>
      <c r="S8" s="165" t="str"/>
    </row>
    <row r="9">
      <c r="A9" s="164" t="n"/>
      <c r="B9" s="164" t="n"/>
      <c r="C9" s="164" t="n"/>
      <c r="D9" s="164" t="n"/>
      <c r="E9" s="166" t="n"/>
      <c r="F9" s="166" t="n"/>
      <c r="G9" s="166" t="n"/>
      <c r="H9" s="167">
        <f>E9+F9+G9</f>
        <v/>
      </c>
      <c r="I9" s="168" t="n"/>
      <c r="J9" s="167">
        <f>H9*(1+I9)</f>
        <v/>
      </c>
      <c r="K9" s="169" t="n"/>
      <c r="L9" s="170">
        <f>SUMIFS('HISTORIQUE DOCS'!$H$4:$H$1000,'HISTORIQUE DOCS'!$F$4:$F$1000,A9,'HISTORIQUE DOCS'!$C$4:$C$1000,"FACTURE",'HISTORIQUE DOCS'!$P$4:$P$1000,"VALIDÉ")</f>
        <v/>
      </c>
      <c r="M9" s="170">
        <f>K9-L9</f>
        <v/>
      </c>
      <c r="N9" s="169" t="n"/>
      <c r="O9" s="164" t="n"/>
      <c r="P9" s="164" t="n"/>
      <c r="R9" s="31" t="inlineStr">
        <is>
          <t>Autres frais</t>
        </is>
      </c>
      <c r="S9" s="165" t="str"/>
    </row>
    <row r="10">
      <c r="A10" s="164" t="n"/>
      <c r="B10" s="164" t="n"/>
      <c r="C10" s="164" t="n"/>
      <c r="D10" s="164" t="n"/>
      <c r="E10" s="166" t="n"/>
      <c r="F10" s="166" t="n"/>
      <c r="G10" s="166" t="n"/>
      <c r="H10" s="167">
        <f>E10+F10+G10</f>
        <v/>
      </c>
      <c r="I10" s="168" t="n"/>
      <c r="J10" s="167">
        <f>H10*(1+I10)</f>
        <v/>
      </c>
      <c r="K10" s="169" t="n"/>
      <c r="L10" s="170">
        <f>SUMIFS('HISTORIQUE DOCS'!$H$4:$H$1000,'HISTORIQUE DOCS'!$F$4:$F$1000,A10,'HISTORIQUE DOCS'!$C$4:$C$1000,"FACTURE",'HISTORIQUE DOCS'!$P$4:$P$1000,"VALIDÉ")</f>
        <v/>
      </c>
      <c r="M10" s="170">
        <f>K10-L10</f>
        <v/>
      </c>
      <c r="N10" s="169" t="n"/>
      <c r="O10" s="164" t="n"/>
      <c r="P10" s="164" t="n"/>
      <c r="R10" s="31" t="inlineStr">
        <is>
          <t>Marge %</t>
        </is>
      </c>
      <c r="S10" s="171" t="n">
        <v>0.3</v>
      </c>
    </row>
    <row r="11">
      <c r="A11" s="164" t="n"/>
      <c r="B11" s="164" t="n"/>
      <c r="C11" s="164" t="n"/>
      <c r="D11" s="164" t="n"/>
      <c r="E11" s="166" t="n"/>
      <c r="F11" s="166" t="n"/>
      <c r="G11" s="166" t="n"/>
      <c r="H11" s="167">
        <f>E11+F11+G11</f>
        <v/>
      </c>
      <c r="I11" s="168" t="n"/>
      <c r="J11" s="167">
        <f>H11*(1+I11)</f>
        <v/>
      </c>
      <c r="K11" s="169" t="n"/>
      <c r="L11" s="170">
        <f>SUMIFS('HISTORIQUE DOCS'!$H$4:$H$1000,'HISTORIQUE DOCS'!$F$4:$F$1000,A11,'HISTORIQUE DOCS'!$C$4:$C$1000,"FACTURE",'HISTORIQUE DOCS'!$P$4:$P$1000,"VALIDÉ")</f>
        <v/>
      </c>
      <c r="M11" s="170">
        <f>K11-L11</f>
        <v/>
      </c>
      <c r="N11" s="169" t="n"/>
      <c r="O11" s="164" t="n"/>
      <c r="P11" s="164" t="n"/>
      <c r="R11" s="31" t="inlineStr">
        <is>
          <t>Quantité entrée</t>
        </is>
      </c>
      <c r="S11" s="165" t="str"/>
    </row>
    <row r="12">
      <c r="A12" s="164" t="n"/>
      <c r="B12" s="164" t="n"/>
      <c r="C12" s="164" t="n"/>
      <c r="D12" s="164" t="n"/>
      <c r="E12" s="166" t="n"/>
      <c r="F12" s="166" t="n"/>
      <c r="G12" s="166" t="n"/>
      <c r="H12" s="167">
        <f>E12+F12+G12</f>
        <v/>
      </c>
      <c r="I12" s="168" t="n"/>
      <c r="J12" s="167">
        <f>H12*(1+I12)</f>
        <v/>
      </c>
      <c r="K12" s="169" t="n"/>
      <c r="L12" s="170">
        <f>SUMIFS('HISTORIQUE DOCS'!$H$4:$H$1000,'HISTORIQUE DOCS'!$F$4:$F$1000,A12,'HISTORIQUE DOCS'!$C$4:$C$1000,"FACTURE",'HISTORIQUE DOCS'!$P$4:$P$1000,"VALIDÉ")</f>
        <v/>
      </c>
      <c r="M12" s="170">
        <f>K12-L12</f>
        <v/>
      </c>
      <c r="N12" s="169" t="n"/>
      <c r="O12" s="164" t="n"/>
      <c r="P12" s="164" t="n"/>
      <c r="R12" s="31" t="inlineStr">
        <is>
          <t>Seuil alerte</t>
        </is>
      </c>
      <c r="S12" s="165" t="n">
        <v>2</v>
      </c>
    </row>
    <row r="13">
      <c r="A13" s="164" t="n"/>
      <c r="B13" s="164" t="n"/>
      <c r="C13" s="164" t="n"/>
      <c r="D13" s="164" t="n"/>
      <c r="E13" s="166" t="n"/>
      <c r="F13" s="166" t="n"/>
      <c r="G13" s="166" t="n"/>
      <c r="H13" s="167">
        <f>E13+F13+G13</f>
        <v/>
      </c>
      <c r="I13" s="168" t="n"/>
      <c r="J13" s="167">
        <f>H13*(1+I13)</f>
        <v/>
      </c>
      <c r="K13" s="169" t="n"/>
      <c r="L13" s="170">
        <f>SUMIFS('HISTORIQUE DOCS'!$H$4:$H$1000,'HISTORIQUE DOCS'!$F$4:$F$1000,A13,'HISTORIQUE DOCS'!$C$4:$C$1000,"FACTURE",'HISTORIQUE DOCS'!$P$4:$P$1000,"VALIDÉ")</f>
        <v/>
      </c>
      <c r="M13" s="170">
        <f>K13-L13</f>
        <v/>
      </c>
      <c r="N13" s="169" t="n"/>
      <c r="O13" s="164" t="n"/>
      <c r="P13" s="164" t="n"/>
      <c r="R13" s="31" t="inlineStr">
        <is>
          <t>Garantie</t>
        </is>
      </c>
      <c r="S13" s="165" t="str"/>
    </row>
    <row r="14">
      <c r="A14" s="164" t="n"/>
      <c r="B14" s="164" t="n"/>
      <c r="C14" s="164" t="n"/>
      <c r="D14" s="164" t="n"/>
      <c r="E14" s="166" t="n"/>
      <c r="F14" s="166" t="n"/>
      <c r="G14" s="166" t="n"/>
      <c r="H14" s="167">
        <f>E14+F14+G14</f>
        <v/>
      </c>
      <c r="I14" s="168" t="n"/>
      <c r="J14" s="167">
        <f>H14*(1+I14)</f>
        <v/>
      </c>
      <c r="K14" s="169" t="n"/>
      <c r="L14" s="170">
        <f>SUMIFS('HISTORIQUE DOCS'!$H$4:$H$1000,'HISTORIQUE DOCS'!$F$4:$F$1000,A14,'HISTORIQUE DOCS'!$C$4:$C$1000,"FACTURE",'HISTORIQUE DOCS'!$P$4:$P$1000,"VALIDÉ")</f>
        <v/>
      </c>
      <c r="M14" s="170">
        <f>K14-L14</f>
        <v/>
      </c>
      <c r="N14" s="169" t="n"/>
      <c r="O14" s="164" t="n"/>
      <c r="P14" s="164" t="n"/>
    </row>
    <row r="15">
      <c r="A15" s="164" t="n"/>
      <c r="B15" s="164" t="n"/>
      <c r="C15" s="164" t="n"/>
      <c r="D15" s="164" t="n"/>
      <c r="E15" s="166" t="n"/>
      <c r="F15" s="166" t="n"/>
      <c r="G15" s="166" t="n"/>
      <c r="H15" s="167">
        <f>E15+F15+G15</f>
        <v/>
      </c>
      <c r="I15" s="168" t="n"/>
      <c r="J15" s="167">
        <f>H15*(1+I15)</f>
        <v/>
      </c>
      <c r="K15" s="169" t="n"/>
      <c r="L15" s="170">
        <f>SUMIFS('HISTORIQUE DOCS'!$H$4:$H$1000,'HISTORIQUE DOCS'!$F$4:$F$1000,A15,'HISTORIQUE DOCS'!$C$4:$C$1000,"FACTURE",'HISTORIQUE DOCS'!$P$4:$P$1000,"VALIDÉ")</f>
        <v/>
      </c>
      <c r="M15" s="170">
        <f>K15-L15</f>
        <v/>
      </c>
      <c r="N15" s="169" t="n"/>
      <c r="O15" s="164" t="n"/>
      <c r="P15" s="164" t="n"/>
      <c r="R15" s="19" t="inlineStr">
        <is>
          <t>➕ ENREGISTRER ARTICLE
(Bouton maquette)</t>
        </is>
      </c>
      <c r="S15" s="1" t="n"/>
    </row>
    <row r="16">
      <c r="A16" s="164" t="n"/>
      <c r="B16" s="164" t="n"/>
      <c r="C16" s="164" t="n"/>
      <c r="D16" s="164" t="n"/>
      <c r="E16" s="166" t="n"/>
      <c r="F16" s="166" t="n"/>
      <c r="G16" s="166" t="n"/>
      <c r="H16" s="167">
        <f>E16+F16+G16</f>
        <v/>
      </c>
      <c r="I16" s="168" t="n"/>
      <c r="J16" s="167">
        <f>H16*(1+I16)</f>
        <v/>
      </c>
      <c r="K16" s="169" t="n"/>
      <c r="L16" s="170">
        <f>SUMIFS('HISTORIQUE DOCS'!$H$4:$H$1000,'HISTORIQUE DOCS'!$F$4:$F$1000,A16,'HISTORIQUE DOCS'!$C$4:$C$1000,"FACTURE",'HISTORIQUE DOCS'!$P$4:$P$1000,"VALIDÉ")</f>
        <v/>
      </c>
      <c r="M16" s="170">
        <f>K16-L16</f>
        <v/>
      </c>
      <c r="N16" s="169" t="n"/>
      <c r="O16" s="164" t="n"/>
      <c r="P16" s="164" t="n"/>
      <c r="R16" s="1" t="n"/>
      <c r="S16" s="1" t="n"/>
    </row>
    <row r="17">
      <c r="A17" s="164" t="n"/>
      <c r="B17" s="164" t="n"/>
      <c r="C17" s="164" t="n"/>
      <c r="D17" s="164" t="n"/>
      <c r="E17" s="166" t="n"/>
      <c r="F17" s="166" t="n"/>
      <c r="G17" s="166" t="n"/>
      <c r="H17" s="167">
        <f>E17+F17+G17</f>
        <v/>
      </c>
      <c r="I17" s="168" t="n"/>
      <c r="J17" s="167">
        <f>H17*(1+I17)</f>
        <v/>
      </c>
      <c r="K17" s="169" t="n"/>
      <c r="L17" s="170">
        <f>SUMIFS('HISTORIQUE DOCS'!$H$4:$H$1000,'HISTORIQUE DOCS'!$F$4:$F$1000,A17,'HISTORIQUE DOCS'!$C$4:$C$1000,"FACTURE",'HISTORIQUE DOCS'!$P$4:$P$1000,"VALIDÉ")</f>
        <v/>
      </c>
      <c r="M17" s="170">
        <f>K17-L17</f>
        <v/>
      </c>
      <c r="N17" s="169" t="n"/>
      <c r="O17" s="164" t="n"/>
      <c r="P17" s="164" t="n"/>
    </row>
    <row r="18">
      <c r="A18" s="164" t="n"/>
      <c r="B18" s="164" t="n"/>
      <c r="C18" s="164" t="n"/>
      <c r="D18" s="164" t="n"/>
      <c r="E18" s="166" t="n"/>
      <c r="F18" s="166" t="n"/>
      <c r="G18" s="166" t="n"/>
      <c r="H18" s="167">
        <f>E18+F18+G18</f>
        <v/>
      </c>
      <c r="I18" s="168" t="n"/>
      <c r="J18" s="167">
        <f>H18*(1+I18)</f>
        <v/>
      </c>
      <c r="K18" s="169" t="n"/>
      <c r="L18" s="170">
        <f>SUMIFS('HISTORIQUE DOCS'!$H$4:$H$1000,'HISTORIQUE DOCS'!$F$4:$F$1000,A18,'HISTORIQUE DOCS'!$C$4:$C$1000,"FACTURE",'HISTORIQUE DOCS'!$P$4:$P$1000,"VALIDÉ")</f>
        <v/>
      </c>
      <c r="M18" s="170">
        <f>K18-L18</f>
        <v/>
      </c>
      <c r="N18" s="169" t="n"/>
      <c r="O18" s="164" t="n"/>
      <c r="P18" s="164" t="n"/>
    </row>
    <row r="19">
      <c r="A19" s="164" t="n"/>
      <c r="B19" s="164" t="n"/>
      <c r="C19" s="164" t="n"/>
      <c r="D19" s="164" t="n"/>
      <c r="E19" s="166" t="n"/>
      <c r="F19" s="166" t="n"/>
      <c r="G19" s="166" t="n"/>
      <c r="H19" s="167">
        <f>E19+F19+G19</f>
        <v/>
      </c>
      <c r="I19" s="168" t="n"/>
      <c r="J19" s="167">
        <f>H19*(1+I19)</f>
        <v/>
      </c>
      <c r="K19" s="169" t="n"/>
      <c r="L19" s="170">
        <f>SUMIFS('HISTORIQUE DOCS'!$H$4:$H$1000,'HISTORIQUE DOCS'!$F$4:$F$1000,A19,'HISTORIQUE DOCS'!$C$4:$C$1000,"FACTURE",'HISTORIQUE DOCS'!$P$4:$P$1000,"VALIDÉ")</f>
        <v/>
      </c>
      <c r="M19" s="170">
        <f>K19-L19</f>
        <v/>
      </c>
      <c r="N19" s="169" t="n"/>
      <c r="O19" s="164" t="n"/>
      <c r="P19" s="164" t="n"/>
    </row>
    <row r="20">
      <c r="A20" s="164" t="n"/>
      <c r="B20" s="164" t="n"/>
      <c r="C20" s="164" t="n"/>
      <c r="D20" s="164" t="n"/>
      <c r="E20" s="166" t="n"/>
      <c r="F20" s="166" t="n"/>
      <c r="G20" s="166" t="n"/>
      <c r="H20" s="167">
        <f>E20+F20+G20</f>
        <v/>
      </c>
      <c r="I20" s="168" t="n"/>
      <c r="J20" s="167">
        <f>H20*(1+I20)</f>
        <v/>
      </c>
      <c r="K20" s="169" t="n"/>
      <c r="L20" s="170">
        <f>SUMIFS('HISTORIQUE DOCS'!$H$4:$H$1000,'HISTORIQUE DOCS'!$F$4:$F$1000,A20,'HISTORIQUE DOCS'!$C$4:$C$1000,"FACTURE",'HISTORIQUE DOCS'!$P$4:$P$1000,"VALIDÉ")</f>
        <v/>
      </c>
      <c r="M20" s="170">
        <f>K20-L20</f>
        <v/>
      </c>
      <c r="N20" s="169" t="n"/>
      <c r="O20" s="164" t="n"/>
      <c r="P20" s="164" t="n"/>
    </row>
    <row r="21">
      <c r="A21" s="164" t="n"/>
      <c r="B21" s="164" t="n"/>
      <c r="C21" s="164" t="n"/>
      <c r="D21" s="164" t="n"/>
      <c r="E21" s="166" t="n"/>
      <c r="F21" s="166" t="n"/>
      <c r="G21" s="166" t="n"/>
      <c r="H21" s="167">
        <f>E21+F21+G21</f>
        <v/>
      </c>
      <c r="I21" s="168" t="n"/>
      <c r="J21" s="167">
        <f>H21*(1+I21)</f>
        <v/>
      </c>
      <c r="K21" s="169" t="n"/>
      <c r="L21" s="170">
        <f>SUMIFS('HISTORIQUE DOCS'!$H$4:$H$1000,'HISTORIQUE DOCS'!$F$4:$F$1000,A21,'HISTORIQUE DOCS'!$C$4:$C$1000,"FACTURE",'HISTORIQUE DOCS'!$P$4:$P$1000,"VALIDÉ")</f>
        <v/>
      </c>
      <c r="M21" s="170">
        <f>K21-L21</f>
        <v/>
      </c>
      <c r="N21" s="169" t="n"/>
      <c r="O21" s="164" t="n"/>
      <c r="P21" s="164" t="n"/>
    </row>
    <row r="22">
      <c r="A22" s="164" t="n"/>
      <c r="B22" s="164" t="n"/>
      <c r="C22" s="164" t="n"/>
      <c r="D22" s="164" t="n"/>
      <c r="E22" s="166" t="n"/>
      <c r="F22" s="166" t="n"/>
      <c r="G22" s="166" t="n"/>
      <c r="H22" s="167">
        <f>E22+F22+G22</f>
        <v/>
      </c>
      <c r="I22" s="168" t="n"/>
      <c r="J22" s="167">
        <f>H22*(1+I22)</f>
        <v/>
      </c>
      <c r="K22" s="169" t="n"/>
      <c r="L22" s="170">
        <f>SUMIFS('HISTORIQUE DOCS'!$H$4:$H$1000,'HISTORIQUE DOCS'!$F$4:$F$1000,A22,'HISTORIQUE DOCS'!$C$4:$C$1000,"FACTURE",'HISTORIQUE DOCS'!$P$4:$P$1000,"VALIDÉ")</f>
        <v/>
      </c>
      <c r="M22" s="170">
        <f>K22-L22</f>
        <v/>
      </c>
      <c r="N22" s="169" t="n"/>
      <c r="O22" s="164" t="n"/>
      <c r="P22" s="164" t="n"/>
    </row>
    <row r="23">
      <c r="A23" s="164" t="n"/>
      <c r="B23" s="164" t="n"/>
      <c r="C23" s="164" t="n"/>
      <c r="D23" s="164" t="n"/>
      <c r="E23" s="166" t="n"/>
      <c r="F23" s="166" t="n"/>
      <c r="G23" s="166" t="n"/>
      <c r="H23" s="167">
        <f>E23+F23+G23</f>
        <v/>
      </c>
      <c r="I23" s="168" t="n"/>
      <c r="J23" s="167">
        <f>H23*(1+I23)</f>
        <v/>
      </c>
      <c r="K23" s="169" t="n"/>
      <c r="L23" s="170">
        <f>SUMIFS('HISTORIQUE DOCS'!$H$4:$H$1000,'HISTORIQUE DOCS'!$F$4:$F$1000,A23,'HISTORIQUE DOCS'!$C$4:$C$1000,"FACTURE",'HISTORIQUE DOCS'!$P$4:$P$1000,"VALIDÉ")</f>
        <v/>
      </c>
      <c r="M23" s="170">
        <f>K23-L23</f>
        <v/>
      </c>
      <c r="N23" s="169" t="n"/>
      <c r="O23" s="164" t="n"/>
      <c r="P23" s="164" t="n"/>
    </row>
    <row r="24">
      <c r="A24" s="164" t="n"/>
      <c r="B24" s="164" t="n"/>
      <c r="C24" s="164" t="n"/>
      <c r="D24" s="164" t="n"/>
      <c r="E24" s="166" t="n"/>
      <c r="F24" s="166" t="n"/>
      <c r="G24" s="166" t="n"/>
      <c r="H24" s="167">
        <f>E24+F24+G24</f>
        <v/>
      </c>
      <c r="I24" s="168" t="n"/>
      <c r="J24" s="167">
        <f>H24*(1+I24)</f>
        <v/>
      </c>
      <c r="K24" s="169" t="n"/>
      <c r="L24" s="170">
        <f>SUMIFS('HISTORIQUE DOCS'!$H$4:$H$1000,'HISTORIQUE DOCS'!$F$4:$F$1000,A24,'HISTORIQUE DOCS'!$C$4:$C$1000,"FACTURE",'HISTORIQUE DOCS'!$P$4:$P$1000,"VALIDÉ")</f>
        <v/>
      </c>
      <c r="M24" s="170">
        <f>K24-L24</f>
        <v/>
      </c>
      <c r="N24" s="169" t="n"/>
      <c r="O24" s="164" t="n"/>
      <c r="P24" s="164" t="n"/>
    </row>
    <row r="25">
      <c r="A25" s="164" t="n"/>
      <c r="B25" s="164" t="n"/>
      <c r="C25" s="164" t="n"/>
      <c r="D25" s="164" t="n"/>
      <c r="E25" s="166" t="n"/>
      <c r="F25" s="166" t="n"/>
      <c r="G25" s="166" t="n"/>
      <c r="H25" s="167">
        <f>E25+F25+G25</f>
        <v/>
      </c>
      <c r="I25" s="168" t="n"/>
      <c r="J25" s="167">
        <f>H25*(1+I25)</f>
        <v/>
      </c>
      <c r="K25" s="169" t="n"/>
      <c r="L25" s="170">
        <f>SUMIFS('HISTORIQUE DOCS'!$H$4:$H$1000,'HISTORIQUE DOCS'!$F$4:$F$1000,A25,'HISTORIQUE DOCS'!$C$4:$C$1000,"FACTURE",'HISTORIQUE DOCS'!$P$4:$P$1000,"VALIDÉ")</f>
        <v/>
      </c>
      <c r="M25" s="170">
        <f>K25-L25</f>
        <v/>
      </c>
      <c r="N25" s="169" t="n"/>
      <c r="O25" s="164" t="n"/>
      <c r="P25" s="164" t="n"/>
    </row>
    <row r="26">
      <c r="A26" s="164" t="n"/>
      <c r="B26" s="164" t="n"/>
      <c r="C26" s="164" t="n"/>
      <c r="D26" s="164" t="n"/>
      <c r="E26" s="166" t="n"/>
      <c r="F26" s="166" t="n"/>
      <c r="G26" s="166" t="n"/>
      <c r="H26" s="167">
        <f>E26+F26+G26</f>
        <v/>
      </c>
      <c r="I26" s="168" t="n"/>
      <c r="J26" s="167">
        <f>H26*(1+I26)</f>
        <v/>
      </c>
      <c r="K26" s="169" t="n"/>
      <c r="L26" s="170">
        <f>SUMIFS('HISTORIQUE DOCS'!$H$4:$H$1000,'HISTORIQUE DOCS'!$F$4:$F$1000,A26,'HISTORIQUE DOCS'!$C$4:$C$1000,"FACTURE",'HISTORIQUE DOCS'!$P$4:$P$1000,"VALIDÉ")</f>
        <v/>
      </c>
      <c r="M26" s="170">
        <f>K26-L26</f>
        <v/>
      </c>
      <c r="N26" s="169" t="n"/>
      <c r="O26" s="164" t="n"/>
      <c r="P26" s="164" t="n"/>
    </row>
    <row r="27">
      <c r="A27" s="164" t="n"/>
      <c r="B27" s="164" t="n"/>
      <c r="C27" s="164" t="n"/>
      <c r="D27" s="164" t="n"/>
      <c r="E27" s="166" t="n"/>
      <c r="F27" s="166" t="n"/>
      <c r="G27" s="166" t="n"/>
      <c r="H27" s="167">
        <f>E27+F27+G27</f>
        <v/>
      </c>
      <c r="I27" s="168" t="n"/>
      <c r="J27" s="167">
        <f>H27*(1+I27)</f>
        <v/>
      </c>
      <c r="K27" s="169" t="n"/>
      <c r="L27" s="170">
        <f>SUMIFS('HISTORIQUE DOCS'!$H$4:$H$1000,'HISTORIQUE DOCS'!$F$4:$F$1000,A27,'HISTORIQUE DOCS'!$C$4:$C$1000,"FACTURE",'HISTORIQUE DOCS'!$P$4:$P$1000,"VALIDÉ")</f>
        <v/>
      </c>
      <c r="M27" s="170">
        <f>K27-L27</f>
        <v/>
      </c>
      <c r="N27" s="169" t="n"/>
      <c r="O27" s="164" t="n"/>
      <c r="P27" s="164" t="n"/>
    </row>
    <row r="28">
      <c r="A28" s="164" t="n"/>
      <c r="B28" s="164" t="n"/>
      <c r="C28" s="164" t="n"/>
      <c r="D28" s="164" t="n"/>
      <c r="E28" s="166" t="n"/>
      <c r="F28" s="166" t="n"/>
      <c r="G28" s="166" t="n"/>
      <c r="H28" s="167">
        <f>E28+F28+G28</f>
        <v/>
      </c>
      <c r="I28" s="168" t="n"/>
      <c r="J28" s="167">
        <f>H28*(1+I28)</f>
        <v/>
      </c>
      <c r="K28" s="169" t="n"/>
      <c r="L28" s="170">
        <f>SUMIFS('HISTORIQUE DOCS'!$H$4:$H$1000,'HISTORIQUE DOCS'!$F$4:$F$1000,A28,'HISTORIQUE DOCS'!$C$4:$C$1000,"FACTURE",'HISTORIQUE DOCS'!$P$4:$P$1000,"VALIDÉ")</f>
        <v/>
      </c>
      <c r="M28" s="170">
        <f>K28-L28</f>
        <v/>
      </c>
      <c r="N28" s="169" t="n"/>
      <c r="O28" s="164" t="n"/>
      <c r="P28" s="164" t="n"/>
    </row>
    <row r="29">
      <c r="A29" s="164" t="n"/>
      <c r="B29" s="164" t="n"/>
      <c r="C29" s="164" t="n"/>
      <c r="D29" s="164" t="n"/>
      <c r="E29" s="166" t="n"/>
      <c r="F29" s="166" t="n"/>
      <c r="G29" s="166" t="n"/>
      <c r="H29" s="167">
        <f>E29+F29+G29</f>
        <v/>
      </c>
      <c r="I29" s="168" t="n"/>
      <c r="J29" s="167">
        <f>H29*(1+I29)</f>
        <v/>
      </c>
      <c r="K29" s="169" t="n"/>
      <c r="L29" s="170">
        <f>SUMIFS('HISTORIQUE DOCS'!$H$4:$H$1000,'HISTORIQUE DOCS'!$F$4:$F$1000,A29,'HISTORIQUE DOCS'!$C$4:$C$1000,"FACTURE",'HISTORIQUE DOCS'!$P$4:$P$1000,"VALIDÉ")</f>
        <v/>
      </c>
      <c r="M29" s="170">
        <f>K29-L29</f>
        <v/>
      </c>
      <c r="N29" s="169" t="n"/>
      <c r="O29" s="164" t="n"/>
      <c r="P29" s="164" t="n"/>
    </row>
    <row r="30">
      <c r="A30" s="164" t="n"/>
      <c r="B30" s="164" t="n"/>
      <c r="C30" s="164" t="n"/>
      <c r="D30" s="164" t="n"/>
      <c r="E30" s="166" t="n"/>
      <c r="F30" s="166" t="n"/>
      <c r="G30" s="166" t="n"/>
      <c r="H30" s="167">
        <f>E30+F30+G30</f>
        <v/>
      </c>
      <c r="I30" s="168" t="n"/>
      <c r="J30" s="167">
        <f>H30*(1+I30)</f>
        <v/>
      </c>
      <c r="K30" s="169" t="n"/>
      <c r="L30" s="170">
        <f>SUMIFS('HISTORIQUE DOCS'!$H$4:$H$1000,'HISTORIQUE DOCS'!$F$4:$F$1000,A30,'HISTORIQUE DOCS'!$C$4:$C$1000,"FACTURE",'HISTORIQUE DOCS'!$P$4:$P$1000,"VALIDÉ")</f>
        <v/>
      </c>
      <c r="M30" s="170">
        <f>K30-L30</f>
        <v/>
      </c>
      <c r="N30" s="169" t="n"/>
      <c r="O30" s="164" t="n"/>
      <c r="P30" s="164" t="n"/>
    </row>
    <row r="31">
      <c r="A31" s="164" t="n"/>
      <c r="B31" s="164" t="n"/>
      <c r="C31" s="164" t="n"/>
      <c r="D31" s="164" t="n"/>
      <c r="E31" s="166" t="n"/>
      <c r="F31" s="166" t="n"/>
      <c r="G31" s="166" t="n"/>
      <c r="H31" s="167">
        <f>E31+F31+G31</f>
        <v/>
      </c>
      <c r="I31" s="168" t="n"/>
      <c r="J31" s="167">
        <f>H31*(1+I31)</f>
        <v/>
      </c>
      <c r="K31" s="169" t="n"/>
      <c r="L31" s="170">
        <f>SUMIFS('HISTORIQUE DOCS'!$H$4:$H$1000,'HISTORIQUE DOCS'!$F$4:$F$1000,A31,'HISTORIQUE DOCS'!$C$4:$C$1000,"FACTURE",'HISTORIQUE DOCS'!$P$4:$P$1000,"VALIDÉ")</f>
        <v/>
      </c>
      <c r="M31" s="170">
        <f>K31-L31</f>
        <v/>
      </c>
      <c r="N31" s="169" t="n"/>
      <c r="O31" s="164" t="n"/>
      <c r="P31" s="164" t="n"/>
    </row>
    <row r="32">
      <c r="A32" s="164" t="n"/>
      <c r="B32" s="164" t="n"/>
      <c r="C32" s="164" t="n"/>
      <c r="D32" s="164" t="n"/>
      <c r="E32" s="166" t="n"/>
      <c r="F32" s="166" t="n"/>
      <c r="G32" s="166" t="n"/>
      <c r="H32" s="167">
        <f>E32+F32+G32</f>
        <v/>
      </c>
      <c r="I32" s="168" t="n"/>
      <c r="J32" s="167">
        <f>H32*(1+I32)</f>
        <v/>
      </c>
      <c r="K32" s="169" t="n"/>
      <c r="L32" s="170">
        <f>SUMIFS('HISTORIQUE DOCS'!$H$4:$H$1000,'HISTORIQUE DOCS'!$F$4:$F$1000,A32,'HISTORIQUE DOCS'!$C$4:$C$1000,"FACTURE",'HISTORIQUE DOCS'!$P$4:$P$1000,"VALIDÉ")</f>
        <v/>
      </c>
      <c r="M32" s="170">
        <f>K32-L32</f>
        <v/>
      </c>
      <c r="N32" s="169" t="n"/>
      <c r="O32" s="164" t="n"/>
      <c r="P32" s="164" t="n"/>
    </row>
    <row r="33">
      <c r="A33" s="164" t="n"/>
      <c r="B33" s="164" t="n"/>
      <c r="C33" s="164" t="n"/>
      <c r="D33" s="164" t="n"/>
      <c r="E33" s="166" t="n"/>
      <c r="F33" s="166" t="n"/>
      <c r="G33" s="166" t="n"/>
      <c r="H33" s="167">
        <f>E33+F33+G33</f>
        <v/>
      </c>
      <c r="I33" s="168" t="n"/>
      <c r="J33" s="167">
        <f>H33*(1+I33)</f>
        <v/>
      </c>
      <c r="K33" s="169" t="n"/>
      <c r="L33" s="170">
        <f>SUMIFS('HISTORIQUE DOCS'!$H$4:$H$1000,'HISTORIQUE DOCS'!$F$4:$F$1000,A33,'HISTORIQUE DOCS'!$C$4:$C$1000,"FACTURE",'HISTORIQUE DOCS'!$P$4:$P$1000,"VALIDÉ")</f>
        <v/>
      </c>
      <c r="M33" s="170">
        <f>K33-L33</f>
        <v/>
      </c>
      <c r="N33" s="169" t="n"/>
      <c r="O33" s="164" t="n"/>
      <c r="P33" s="164" t="n"/>
    </row>
    <row r="34">
      <c r="A34" s="164" t="n"/>
      <c r="B34" s="164" t="n"/>
      <c r="C34" s="164" t="n"/>
      <c r="D34" s="164" t="n"/>
      <c r="E34" s="166" t="n"/>
      <c r="F34" s="166" t="n"/>
      <c r="G34" s="166" t="n"/>
      <c r="H34" s="167">
        <f>E34+F34+G34</f>
        <v/>
      </c>
      <c r="I34" s="168" t="n"/>
      <c r="J34" s="167">
        <f>H34*(1+I34)</f>
        <v/>
      </c>
      <c r="K34" s="169" t="n"/>
      <c r="L34" s="170">
        <f>SUMIFS('HISTORIQUE DOCS'!$H$4:$H$1000,'HISTORIQUE DOCS'!$F$4:$F$1000,A34,'HISTORIQUE DOCS'!$C$4:$C$1000,"FACTURE",'HISTORIQUE DOCS'!$P$4:$P$1000,"VALIDÉ")</f>
        <v/>
      </c>
      <c r="M34" s="170">
        <f>K34-L34</f>
        <v/>
      </c>
      <c r="N34" s="169" t="n"/>
      <c r="O34" s="164" t="n"/>
      <c r="P34" s="164" t="n"/>
    </row>
    <row r="35">
      <c r="A35" s="164" t="n"/>
      <c r="B35" s="164" t="n"/>
      <c r="C35" s="164" t="n"/>
      <c r="D35" s="164" t="n"/>
      <c r="E35" s="166" t="n"/>
      <c r="F35" s="166" t="n"/>
      <c r="G35" s="166" t="n"/>
      <c r="H35" s="167">
        <f>E35+F35+G35</f>
        <v/>
      </c>
      <c r="I35" s="168" t="n"/>
      <c r="J35" s="167">
        <f>H35*(1+I35)</f>
        <v/>
      </c>
      <c r="K35" s="169" t="n"/>
      <c r="L35" s="170">
        <f>SUMIFS('HISTORIQUE DOCS'!$H$4:$H$1000,'HISTORIQUE DOCS'!$F$4:$F$1000,A35,'HISTORIQUE DOCS'!$C$4:$C$1000,"FACTURE",'HISTORIQUE DOCS'!$P$4:$P$1000,"VALIDÉ")</f>
        <v/>
      </c>
      <c r="M35" s="170">
        <f>K35-L35</f>
        <v/>
      </c>
      <c r="N35" s="169" t="n"/>
      <c r="O35" s="164" t="n"/>
      <c r="P35" s="164" t="n"/>
    </row>
    <row r="36">
      <c r="A36" s="164" t="n"/>
      <c r="B36" s="164" t="n"/>
      <c r="C36" s="164" t="n"/>
      <c r="D36" s="164" t="n"/>
      <c r="E36" s="166" t="n"/>
      <c r="F36" s="166" t="n"/>
      <c r="G36" s="166" t="n"/>
      <c r="H36" s="167">
        <f>E36+F36+G36</f>
        <v/>
      </c>
      <c r="I36" s="168" t="n"/>
      <c r="J36" s="167">
        <f>H36*(1+I36)</f>
        <v/>
      </c>
      <c r="K36" s="169" t="n"/>
      <c r="L36" s="170">
        <f>SUMIFS('HISTORIQUE DOCS'!$H$4:$H$1000,'HISTORIQUE DOCS'!$F$4:$F$1000,A36,'HISTORIQUE DOCS'!$C$4:$C$1000,"FACTURE",'HISTORIQUE DOCS'!$P$4:$P$1000,"VALIDÉ")</f>
        <v/>
      </c>
      <c r="M36" s="170">
        <f>K36-L36</f>
        <v/>
      </c>
      <c r="N36" s="169" t="n"/>
      <c r="O36" s="164" t="n"/>
      <c r="P36" s="164" t="n"/>
    </row>
    <row r="37">
      <c r="A37" s="164" t="n"/>
      <c r="B37" s="164" t="n"/>
      <c r="C37" s="164" t="n"/>
      <c r="D37" s="164" t="n"/>
      <c r="E37" s="166" t="n"/>
      <c r="F37" s="166" t="n"/>
      <c r="G37" s="166" t="n"/>
      <c r="H37" s="167">
        <f>E37+F37+G37</f>
        <v/>
      </c>
      <c r="I37" s="168" t="n"/>
      <c r="J37" s="167">
        <f>H37*(1+I37)</f>
        <v/>
      </c>
      <c r="K37" s="169" t="n"/>
      <c r="L37" s="170">
        <f>SUMIFS('HISTORIQUE DOCS'!$H$4:$H$1000,'HISTORIQUE DOCS'!$F$4:$F$1000,A37,'HISTORIQUE DOCS'!$C$4:$C$1000,"FACTURE",'HISTORIQUE DOCS'!$P$4:$P$1000,"VALIDÉ")</f>
        <v/>
      </c>
      <c r="M37" s="170">
        <f>K37-L37</f>
        <v/>
      </c>
      <c r="N37" s="169" t="n"/>
      <c r="O37" s="164" t="n"/>
      <c r="P37" s="164" t="n"/>
    </row>
    <row r="38">
      <c r="A38" s="164" t="n"/>
      <c r="B38" s="164" t="n"/>
      <c r="C38" s="164" t="n"/>
      <c r="D38" s="164" t="n"/>
      <c r="E38" s="166" t="n"/>
      <c r="F38" s="166" t="n"/>
      <c r="G38" s="166" t="n"/>
      <c r="H38" s="167">
        <f>E38+F38+G38</f>
        <v/>
      </c>
      <c r="I38" s="168" t="n"/>
      <c r="J38" s="167">
        <f>H38*(1+I38)</f>
        <v/>
      </c>
      <c r="K38" s="169" t="n"/>
      <c r="L38" s="170">
        <f>SUMIFS('HISTORIQUE DOCS'!$H$4:$H$1000,'HISTORIQUE DOCS'!$F$4:$F$1000,A38,'HISTORIQUE DOCS'!$C$4:$C$1000,"FACTURE",'HISTORIQUE DOCS'!$P$4:$P$1000,"VALIDÉ")</f>
        <v/>
      </c>
      <c r="M38" s="170">
        <f>K38-L38</f>
        <v/>
      </c>
      <c r="N38" s="169" t="n"/>
      <c r="O38" s="164" t="n"/>
      <c r="P38" s="164" t="n"/>
    </row>
    <row r="39">
      <c r="A39" s="164" t="n"/>
      <c r="B39" s="164" t="n"/>
      <c r="C39" s="164" t="n"/>
      <c r="D39" s="164" t="n"/>
      <c r="E39" s="166" t="n"/>
      <c r="F39" s="166" t="n"/>
      <c r="G39" s="166" t="n"/>
      <c r="H39" s="167">
        <f>E39+F39+G39</f>
        <v/>
      </c>
      <c r="I39" s="168" t="n"/>
      <c r="J39" s="167">
        <f>H39*(1+I39)</f>
        <v/>
      </c>
      <c r="K39" s="169" t="n"/>
      <c r="L39" s="170">
        <f>SUMIFS('HISTORIQUE DOCS'!$H$4:$H$1000,'HISTORIQUE DOCS'!$F$4:$F$1000,A39,'HISTORIQUE DOCS'!$C$4:$C$1000,"FACTURE",'HISTORIQUE DOCS'!$P$4:$P$1000,"VALIDÉ")</f>
        <v/>
      </c>
      <c r="M39" s="170">
        <f>K39-L39</f>
        <v/>
      </c>
      <c r="N39" s="169" t="n"/>
      <c r="O39" s="164" t="n"/>
      <c r="P39" s="164" t="n"/>
    </row>
    <row r="40">
      <c r="A40" s="164" t="n"/>
      <c r="B40" s="164" t="n"/>
      <c r="C40" s="164" t="n"/>
      <c r="D40" s="164" t="n"/>
      <c r="E40" s="166" t="n"/>
      <c r="F40" s="166" t="n"/>
      <c r="G40" s="166" t="n"/>
      <c r="H40" s="167">
        <f>E40+F40+G40</f>
        <v/>
      </c>
      <c r="I40" s="168" t="n"/>
      <c r="J40" s="167">
        <f>H40*(1+I40)</f>
        <v/>
      </c>
      <c r="K40" s="169" t="n"/>
      <c r="L40" s="170">
        <f>SUMIFS('HISTORIQUE DOCS'!$H$4:$H$1000,'HISTORIQUE DOCS'!$F$4:$F$1000,A40,'HISTORIQUE DOCS'!$C$4:$C$1000,"FACTURE",'HISTORIQUE DOCS'!$P$4:$P$1000,"VALIDÉ")</f>
        <v/>
      </c>
      <c r="M40" s="170">
        <f>K40-L40</f>
        <v/>
      </c>
      <c r="N40" s="169" t="n"/>
      <c r="O40" s="164" t="n"/>
      <c r="P40" s="164" t="n"/>
    </row>
    <row r="41">
      <c r="A41" s="164" t="n"/>
      <c r="B41" s="164" t="n"/>
      <c r="C41" s="164" t="n"/>
      <c r="D41" s="164" t="n"/>
      <c r="E41" s="166" t="n"/>
      <c r="F41" s="166" t="n"/>
      <c r="G41" s="166" t="n"/>
      <c r="H41" s="167">
        <f>E41+F41+G41</f>
        <v/>
      </c>
      <c r="I41" s="168" t="n"/>
      <c r="J41" s="167">
        <f>H41*(1+I41)</f>
        <v/>
      </c>
      <c r="K41" s="169" t="n"/>
      <c r="L41" s="170">
        <f>SUMIFS('HISTORIQUE DOCS'!$H$4:$H$1000,'HISTORIQUE DOCS'!$F$4:$F$1000,A41,'HISTORIQUE DOCS'!$C$4:$C$1000,"FACTURE",'HISTORIQUE DOCS'!$P$4:$P$1000,"VALIDÉ")</f>
        <v/>
      </c>
      <c r="M41" s="170">
        <f>K41-L41</f>
        <v/>
      </c>
      <c r="N41" s="169" t="n"/>
      <c r="O41" s="164" t="n"/>
      <c r="P41" s="164" t="n"/>
    </row>
    <row r="42">
      <c r="A42" s="164" t="n"/>
      <c r="B42" s="164" t="n"/>
      <c r="C42" s="164" t="n"/>
      <c r="D42" s="164" t="n"/>
      <c r="E42" s="166" t="n"/>
      <c r="F42" s="166" t="n"/>
      <c r="G42" s="166" t="n"/>
      <c r="H42" s="167">
        <f>E42+F42+G42</f>
        <v/>
      </c>
      <c r="I42" s="168" t="n"/>
      <c r="J42" s="167">
        <f>H42*(1+I42)</f>
        <v/>
      </c>
      <c r="K42" s="169" t="n"/>
      <c r="L42" s="170">
        <f>SUMIFS('HISTORIQUE DOCS'!$H$4:$H$1000,'HISTORIQUE DOCS'!$F$4:$F$1000,A42,'HISTORIQUE DOCS'!$C$4:$C$1000,"FACTURE",'HISTORIQUE DOCS'!$P$4:$P$1000,"VALIDÉ")</f>
        <v/>
      </c>
      <c r="M42" s="170">
        <f>K42-L42</f>
        <v/>
      </c>
      <c r="N42" s="169" t="n"/>
      <c r="O42" s="164" t="n"/>
      <c r="P42" s="164" t="n"/>
    </row>
    <row r="43">
      <c r="A43" s="164" t="n"/>
      <c r="B43" s="164" t="n"/>
      <c r="C43" s="164" t="n"/>
      <c r="D43" s="164" t="n"/>
      <c r="E43" s="166" t="n"/>
      <c r="F43" s="166" t="n"/>
      <c r="G43" s="166" t="n"/>
      <c r="H43" s="167">
        <f>E43+F43+G43</f>
        <v/>
      </c>
      <c r="I43" s="168" t="n"/>
      <c r="J43" s="167">
        <f>H43*(1+I43)</f>
        <v/>
      </c>
      <c r="K43" s="169" t="n"/>
      <c r="L43" s="170">
        <f>SUMIFS('HISTORIQUE DOCS'!$H$4:$H$1000,'HISTORIQUE DOCS'!$F$4:$F$1000,A43,'HISTORIQUE DOCS'!$C$4:$C$1000,"FACTURE",'HISTORIQUE DOCS'!$P$4:$P$1000,"VALIDÉ")</f>
        <v/>
      </c>
      <c r="M43" s="170">
        <f>K43-L43</f>
        <v/>
      </c>
      <c r="N43" s="169" t="n"/>
      <c r="O43" s="164" t="n"/>
      <c r="P43" s="164" t="n"/>
    </row>
    <row r="44">
      <c r="A44" s="164" t="n"/>
      <c r="B44" s="164" t="n"/>
      <c r="C44" s="164" t="n"/>
      <c r="D44" s="164" t="n"/>
      <c r="E44" s="166" t="n"/>
      <c r="F44" s="166" t="n"/>
      <c r="G44" s="166" t="n"/>
      <c r="H44" s="167">
        <f>E44+F44+G44</f>
        <v/>
      </c>
      <c r="I44" s="168" t="n"/>
      <c r="J44" s="167">
        <f>H44*(1+I44)</f>
        <v/>
      </c>
      <c r="K44" s="169" t="n"/>
      <c r="L44" s="170">
        <f>SUMIFS('HISTORIQUE DOCS'!$H$4:$H$1000,'HISTORIQUE DOCS'!$F$4:$F$1000,A44,'HISTORIQUE DOCS'!$C$4:$C$1000,"FACTURE",'HISTORIQUE DOCS'!$P$4:$P$1000,"VALIDÉ")</f>
        <v/>
      </c>
      <c r="M44" s="170">
        <f>K44-L44</f>
        <v/>
      </c>
      <c r="N44" s="169" t="n"/>
      <c r="O44" s="164" t="n"/>
      <c r="P44" s="164" t="n"/>
    </row>
    <row r="45">
      <c r="A45" s="164" t="n"/>
      <c r="B45" s="164" t="n"/>
      <c r="C45" s="164" t="n"/>
      <c r="D45" s="164" t="n"/>
      <c r="E45" s="166" t="n"/>
      <c r="F45" s="166" t="n"/>
      <c r="G45" s="166" t="n"/>
      <c r="H45" s="167">
        <f>E45+F45+G45</f>
        <v/>
      </c>
      <c r="I45" s="168" t="n"/>
      <c r="J45" s="167">
        <f>H45*(1+I45)</f>
        <v/>
      </c>
      <c r="K45" s="169" t="n"/>
      <c r="L45" s="170">
        <f>SUMIFS('HISTORIQUE DOCS'!$H$4:$H$1000,'HISTORIQUE DOCS'!$F$4:$F$1000,A45,'HISTORIQUE DOCS'!$C$4:$C$1000,"FACTURE",'HISTORIQUE DOCS'!$P$4:$P$1000,"VALIDÉ")</f>
        <v/>
      </c>
      <c r="M45" s="170">
        <f>K45-L45</f>
        <v/>
      </c>
      <c r="N45" s="169" t="n"/>
      <c r="O45" s="164" t="n"/>
      <c r="P45" s="164" t="n"/>
    </row>
    <row r="46">
      <c r="A46" s="164" t="n"/>
      <c r="B46" s="164" t="n"/>
      <c r="C46" s="164" t="n"/>
      <c r="D46" s="164" t="n"/>
      <c r="E46" s="166" t="n"/>
      <c r="F46" s="166" t="n"/>
      <c r="G46" s="166" t="n"/>
      <c r="H46" s="167">
        <f>E46+F46+G46</f>
        <v/>
      </c>
      <c r="I46" s="168" t="n"/>
      <c r="J46" s="167">
        <f>H46*(1+I46)</f>
        <v/>
      </c>
      <c r="K46" s="169" t="n"/>
      <c r="L46" s="170">
        <f>SUMIFS('HISTORIQUE DOCS'!$H$4:$H$1000,'HISTORIQUE DOCS'!$F$4:$F$1000,A46,'HISTORIQUE DOCS'!$C$4:$C$1000,"FACTURE",'HISTORIQUE DOCS'!$P$4:$P$1000,"VALIDÉ")</f>
        <v/>
      </c>
      <c r="M46" s="170">
        <f>K46-L46</f>
        <v/>
      </c>
      <c r="N46" s="169" t="n"/>
      <c r="O46" s="164" t="n"/>
      <c r="P46" s="164" t="n"/>
    </row>
    <row r="47">
      <c r="A47" s="164" t="n"/>
      <c r="B47" s="164" t="n"/>
      <c r="C47" s="164" t="n"/>
      <c r="D47" s="164" t="n"/>
      <c r="E47" s="166" t="n"/>
      <c r="F47" s="166" t="n"/>
      <c r="G47" s="166" t="n"/>
      <c r="H47" s="167">
        <f>E47+F47+G47</f>
        <v/>
      </c>
      <c r="I47" s="168" t="n"/>
      <c r="J47" s="167">
        <f>H47*(1+I47)</f>
        <v/>
      </c>
      <c r="K47" s="169" t="n"/>
      <c r="L47" s="170">
        <f>SUMIFS('HISTORIQUE DOCS'!$H$4:$H$1000,'HISTORIQUE DOCS'!$F$4:$F$1000,A47,'HISTORIQUE DOCS'!$C$4:$C$1000,"FACTURE",'HISTORIQUE DOCS'!$P$4:$P$1000,"VALIDÉ")</f>
        <v/>
      </c>
      <c r="M47" s="170">
        <f>K47-L47</f>
        <v/>
      </c>
      <c r="N47" s="169" t="n"/>
      <c r="O47" s="164" t="n"/>
      <c r="P47" s="164" t="n"/>
    </row>
    <row r="48">
      <c r="A48" s="164" t="n"/>
      <c r="B48" s="164" t="n"/>
      <c r="C48" s="164" t="n"/>
      <c r="D48" s="164" t="n"/>
      <c r="E48" s="166" t="n"/>
      <c r="F48" s="166" t="n"/>
      <c r="G48" s="166" t="n"/>
      <c r="H48" s="167">
        <f>E48+F48+G48</f>
        <v/>
      </c>
      <c r="I48" s="168" t="n"/>
      <c r="J48" s="167">
        <f>H48*(1+I48)</f>
        <v/>
      </c>
      <c r="K48" s="169" t="n"/>
      <c r="L48" s="170">
        <f>SUMIFS('HISTORIQUE DOCS'!$H$4:$H$1000,'HISTORIQUE DOCS'!$F$4:$F$1000,A48,'HISTORIQUE DOCS'!$C$4:$C$1000,"FACTURE",'HISTORIQUE DOCS'!$P$4:$P$1000,"VALIDÉ")</f>
        <v/>
      </c>
      <c r="M48" s="170">
        <f>K48-L48</f>
        <v/>
      </c>
      <c r="N48" s="169" t="n"/>
      <c r="O48" s="164" t="n"/>
      <c r="P48" s="164" t="n"/>
    </row>
    <row r="49">
      <c r="A49" s="164" t="n"/>
      <c r="B49" s="164" t="n"/>
      <c r="C49" s="164" t="n"/>
      <c r="D49" s="164" t="n"/>
      <c r="E49" s="166" t="n"/>
      <c r="F49" s="166" t="n"/>
      <c r="G49" s="166" t="n"/>
      <c r="H49" s="167">
        <f>E49+F49+G49</f>
        <v/>
      </c>
      <c r="I49" s="168" t="n"/>
      <c r="J49" s="167">
        <f>H49*(1+I49)</f>
        <v/>
      </c>
      <c r="K49" s="169" t="n"/>
      <c r="L49" s="170">
        <f>SUMIFS('HISTORIQUE DOCS'!$H$4:$H$1000,'HISTORIQUE DOCS'!$F$4:$F$1000,A49,'HISTORIQUE DOCS'!$C$4:$C$1000,"FACTURE",'HISTORIQUE DOCS'!$P$4:$P$1000,"VALIDÉ")</f>
        <v/>
      </c>
      <c r="M49" s="170">
        <f>K49-L49</f>
        <v/>
      </c>
      <c r="N49" s="169" t="n"/>
      <c r="O49" s="164" t="n"/>
      <c r="P49" s="164" t="n"/>
    </row>
    <row r="50">
      <c r="A50" s="164" t="n"/>
      <c r="B50" s="164" t="n"/>
      <c r="C50" s="164" t="n"/>
      <c r="D50" s="164" t="n"/>
      <c r="E50" s="166" t="n"/>
      <c r="F50" s="166" t="n"/>
      <c r="G50" s="166" t="n"/>
      <c r="H50" s="167">
        <f>E50+F50+G50</f>
        <v/>
      </c>
      <c r="I50" s="168" t="n"/>
      <c r="J50" s="167">
        <f>H50*(1+I50)</f>
        <v/>
      </c>
      <c r="K50" s="169" t="n"/>
      <c r="L50" s="170">
        <f>SUMIFS('HISTORIQUE DOCS'!$H$4:$H$1000,'HISTORIQUE DOCS'!$F$4:$F$1000,A50,'HISTORIQUE DOCS'!$C$4:$C$1000,"FACTURE",'HISTORIQUE DOCS'!$P$4:$P$1000,"VALIDÉ")</f>
        <v/>
      </c>
      <c r="M50" s="170">
        <f>K50-L50</f>
        <v/>
      </c>
      <c r="N50" s="169" t="n"/>
      <c r="O50" s="164" t="n"/>
      <c r="P50" s="164" t="n"/>
    </row>
    <row r="51">
      <c r="A51" s="164" t="n"/>
      <c r="B51" s="164" t="n"/>
      <c r="C51" s="164" t="n"/>
      <c r="D51" s="164" t="n"/>
      <c r="E51" s="166" t="n"/>
      <c r="F51" s="166" t="n"/>
      <c r="G51" s="166" t="n"/>
      <c r="H51" s="167">
        <f>E51+F51+G51</f>
        <v/>
      </c>
      <c r="I51" s="168" t="n"/>
      <c r="J51" s="167">
        <f>H51*(1+I51)</f>
        <v/>
      </c>
      <c r="K51" s="169" t="n"/>
      <c r="L51" s="170">
        <f>SUMIFS('HISTORIQUE DOCS'!$H$4:$H$1000,'HISTORIQUE DOCS'!$F$4:$F$1000,A51,'HISTORIQUE DOCS'!$C$4:$C$1000,"FACTURE",'HISTORIQUE DOCS'!$P$4:$P$1000,"VALIDÉ")</f>
        <v/>
      </c>
      <c r="M51" s="170">
        <f>K51-L51</f>
        <v/>
      </c>
      <c r="N51" s="169" t="n"/>
      <c r="O51" s="164" t="n"/>
      <c r="P51" s="164" t="n"/>
    </row>
    <row r="52">
      <c r="A52" s="164" t="n"/>
      <c r="B52" s="164" t="n"/>
      <c r="C52" s="164" t="n"/>
      <c r="D52" s="164" t="n"/>
      <c r="E52" s="166" t="n"/>
      <c r="F52" s="166" t="n"/>
      <c r="G52" s="166" t="n"/>
      <c r="H52" s="167">
        <f>E52+F52+G52</f>
        <v/>
      </c>
      <c r="I52" s="168" t="n"/>
      <c r="J52" s="167">
        <f>H52*(1+I52)</f>
        <v/>
      </c>
      <c r="K52" s="169" t="n"/>
      <c r="L52" s="170">
        <f>SUMIFS('HISTORIQUE DOCS'!$H$4:$H$1000,'HISTORIQUE DOCS'!$F$4:$F$1000,A52,'HISTORIQUE DOCS'!$C$4:$C$1000,"FACTURE",'HISTORIQUE DOCS'!$P$4:$P$1000,"VALIDÉ")</f>
        <v/>
      </c>
      <c r="M52" s="170">
        <f>K52-L52</f>
        <v/>
      </c>
      <c r="N52" s="169" t="n"/>
      <c r="O52" s="164" t="n"/>
      <c r="P52" s="164" t="n"/>
    </row>
    <row r="53">
      <c r="A53" s="164" t="n"/>
      <c r="B53" s="164" t="n"/>
      <c r="C53" s="164" t="n"/>
      <c r="D53" s="164" t="n"/>
      <c r="E53" s="166" t="n"/>
      <c r="F53" s="166" t="n"/>
      <c r="G53" s="166" t="n"/>
      <c r="H53" s="167">
        <f>E53+F53+G53</f>
        <v/>
      </c>
      <c r="I53" s="168" t="n"/>
      <c r="J53" s="167">
        <f>H53*(1+I53)</f>
        <v/>
      </c>
      <c r="K53" s="169" t="n"/>
      <c r="L53" s="170">
        <f>SUMIFS('HISTORIQUE DOCS'!$H$4:$H$1000,'HISTORIQUE DOCS'!$F$4:$F$1000,A53,'HISTORIQUE DOCS'!$C$4:$C$1000,"FACTURE",'HISTORIQUE DOCS'!$P$4:$P$1000,"VALIDÉ")</f>
        <v/>
      </c>
      <c r="M53" s="170">
        <f>K53-L53</f>
        <v/>
      </c>
      <c r="N53" s="169" t="n"/>
      <c r="O53" s="164" t="n"/>
      <c r="P53" s="164" t="n"/>
    </row>
    <row r="54">
      <c r="A54" s="164" t="n"/>
      <c r="B54" s="164" t="n"/>
      <c r="C54" s="164" t="n"/>
      <c r="D54" s="164" t="n"/>
      <c r="E54" s="166" t="n"/>
      <c r="F54" s="166" t="n"/>
      <c r="G54" s="166" t="n"/>
      <c r="H54" s="167">
        <f>E54+F54+G54</f>
        <v/>
      </c>
      <c r="I54" s="168" t="n"/>
      <c r="J54" s="167">
        <f>H54*(1+I54)</f>
        <v/>
      </c>
      <c r="K54" s="169" t="n"/>
      <c r="L54" s="170">
        <f>SUMIFS('HISTORIQUE DOCS'!$H$4:$H$1000,'HISTORIQUE DOCS'!$F$4:$F$1000,A54,'HISTORIQUE DOCS'!$C$4:$C$1000,"FACTURE",'HISTORIQUE DOCS'!$P$4:$P$1000,"VALIDÉ")</f>
        <v/>
      </c>
      <c r="M54" s="170">
        <f>K54-L54</f>
        <v/>
      </c>
      <c r="N54" s="169" t="n"/>
      <c r="O54" s="164" t="n"/>
      <c r="P54" s="164" t="n"/>
    </row>
    <row r="55">
      <c r="A55" s="164" t="n"/>
      <c r="B55" s="164" t="n"/>
      <c r="C55" s="164" t="n"/>
      <c r="D55" s="164" t="n"/>
      <c r="E55" s="166" t="n"/>
      <c r="F55" s="166" t="n"/>
      <c r="G55" s="166" t="n"/>
      <c r="H55" s="167">
        <f>E55+F55+G55</f>
        <v/>
      </c>
      <c r="I55" s="168" t="n"/>
      <c r="J55" s="167">
        <f>H55*(1+I55)</f>
        <v/>
      </c>
      <c r="K55" s="169" t="n"/>
      <c r="L55" s="170">
        <f>SUMIFS('HISTORIQUE DOCS'!$H$4:$H$1000,'HISTORIQUE DOCS'!$F$4:$F$1000,A55,'HISTORIQUE DOCS'!$C$4:$C$1000,"FACTURE",'HISTORIQUE DOCS'!$P$4:$P$1000,"VALIDÉ")</f>
        <v/>
      </c>
      <c r="M55" s="170">
        <f>K55-L55</f>
        <v/>
      </c>
      <c r="N55" s="169" t="n"/>
      <c r="O55" s="164" t="n"/>
      <c r="P55" s="164" t="n"/>
    </row>
    <row r="56">
      <c r="A56" s="164" t="n"/>
      <c r="B56" s="164" t="n"/>
      <c r="C56" s="164" t="n"/>
      <c r="D56" s="164" t="n"/>
      <c r="E56" s="166" t="n"/>
      <c r="F56" s="166" t="n"/>
      <c r="G56" s="166" t="n"/>
      <c r="H56" s="167">
        <f>E56+F56+G56</f>
        <v/>
      </c>
      <c r="I56" s="168" t="n"/>
      <c r="J56" s="167">
        <f>H56*(1+I56)</f>
        <v/>
      </c>
      <c r="K56" s="169" t="n"/>
      <c r="L56" s="170">
        <f>SUMIFS('HISTORIQUE DOCS'!$H$4:$H$1000,'HISTORIQUE DOCS'!$F$4:$F$1000,A56,'HISTORIQUE DOCS'!$C$4:$C$1000,"FACTURE",'HISTORIQUE DOCS'!$P$4:$P$1000,"VALIDÉ")</f>
        <v/>
      </c>
      <c r="M56" s="170">
        <f>K56-L56</f>
        <v/>
      </c>
      <c r="N56" s="169" t="n"/>
      <c r="O56" s="164" t="n"/>
      <c r="P56" s="164" t="n"/>
    </row>
    <row r="57">
      <c r="A57" s="164" t="n"/>
      <c r="B57" s="164" t="n"/>
      <c r="C57" s="164" t="n"/>
      <c r="D57" s="164" t="n"/>
      <c r="E57" s="166" t="n"/>
      <c r="F57" s="166" t="n"/>
      <c r="G57" s="166" t="n"/>
      <c r="H57" s="167">
        <f>E57+F57+G57</f>
        <v/>
      </c>
      <c r="I57" s="168" t="n"/>
      <c r="J57" s="167">
        <f>H57*(1+I57)</f>
        <v/>
      </c>
      <c r="K57" s="169" t="n"/>
      <c r="L57" s="170">
        <f>SUMIFS('HISTORIQUE DOCS'!$H$4:$H$1000,'HISTORIQUE DOCS'!$F$4:$F$1000,A57,'HISTORIQUE DOCS'!$C$4:$C$1000,"FACTURE",'HISTORIQUE DOCS'!$P$4:$P$1000,"VALIDÉ")</f>
        <v/>
      </c>
      <c r="M57" s="170">
        <f>K57-L57</f>
        <v/>
      </c>
      <c r="N57" s="169" t="n"/>
      <c r="O57" s="164" t="n"/>
      <c r="P57" s="164" t="n"/>
    </row>
    <row r="58">
      <c r="A58" s="164" t="n"/>
      <c r="B58" s="164" t="n"/>
      <c r="C58" s="164" t="n"/>
      <c r="D58" s="164" t="n"/>
      <c r="E58" s="166" t="n"/>
      <c r="F58" s="166" t="n"/>
      <c r="G58" s="166" t="n"/>
      <c r="H58" s="167">
        <f>E58+F58+G58</f>
        <v/>
      </c>
      <c r="I58" s="168" t="n"/>
      <c r="J58" s="167">
        <f>H58*(1+I58)</f>
        <v/>
      </c>
      <c r="K58" s="169" t="n"/>
      <c r="L58" s="170">
        <f>SUMIFS('HISTORIQUE DOCS'!$H$4:$H$1000,'HISTORIQUE DOCS'!$F$4:$F$1000,A58,'HISTORIQUE DOCS'!$C$4:$C$1000,"FACTURE",'HISTORIQUE DOCS'!$P$4:$P$1000,"VALIDÉ")</f>
        <v/>
      </c>
      <c r="M58" s="170">
        <f>K58-L58</f>
        <v/>
      </c>
      <c r="N58" s="169" t="n"/>
      <c r="O58" s="164" t="n"/>
      <c r="P58" s="164" t="n"/>
    </row>
    <row r="59">
      <c r="A59" s="164" t="n"/>
      <c r="B59" s="164" t="n"/>
      <c r="C59" s="164" t="n"/>
      <c r="D59" s="164" t="n"/>
      <c r="E59" s="166" t="n"/>
      <c r="F59" s="166" t="n"/>
      <c r="G59" s="166" t="n"/>
      <c r="H59" s="167">
        <f>E59+F59+G59</f>
        <v/>
      </c>
      <c r="I59" s="168" t="n"/>
      <c r="J59" s="167">
        <f>H59*(1+I59)</f>
        <v/>
      </c>
      <c r="K59" s="169" t="n"/>
      <c r="L59" s="170">
        <f>SUMIFS('HISTORIQUE DOCS'!$H$4:$H$1000,'HISTORIQUE DOCS'!$F$4:$F$1000,A59,'HISTORIQUE DOCS'!$C$4:$C$1000,"FACTURE",'HISTORIQUE DOCS'!$P$4:$P$1000,"VALIDÉ")</f>
        <v/>
      </c>
      <c r="M59" s="170">
        <f>K59-L59</f>
        <v/>
      </c>
      <c r="N59" s="169" t="n"/>
      <c r="O59" s="164" t="n"/>
      <c r="P59" s="164" t="n"/>
    </row>
    <row r="60">
      <c r="A60" s="164" t="n"/>
      <c r="B60" s="164" t="n"/>
      <c r="C60" s="164" t="n"/>
      <c r="D60" s="164" t="n"/>
      <c r="E60" s="166" t="n"/>
      <c r="F60" s="166" t="n"/>
      <c r="G60" s="166" t="n"/>
      <c r="H60" s="167">
        <f>E60+F60+G60</f>
        <v/>
      </c>
      <c r="I60" s="168" t="n"/>
      <c r="J60" s="167">
        <f>H60*(1+I60)</f>
        <v/>
      </c>
      <c r="K60" s="169" t="n"/>
      <c r="L60" s="170">
        <f>SUMIFS('HISTORIQUE DOCS'!$H$4:$H$1000,'HISTORIQUE DOCS'!$F$4:$F$1000,A60,'HISTORIQUE DOCS'!$C$4:$C$1000,"FACTURE",'HISTORIQUE DOCS'!$P$4:$P$1000,"VALIDÉ")</f>
        <v/>
      </c>
      <c r="M60" s="170">
        <f>K60-L60</f>
        <v/>
      </c>
      <c r="N60" s="169" t="n"/>
      <c r="O60" s="164" t="n"/>
      <c r="P60" s="164" t="n"/>
    </row>
    <row r="61">
      <c r="A61" s="164" t="n"/>
      <c r="B61" s="164" t="n"/>
      <c r="C61" s="164" t="n"/>
      <c r="D61" s="164" t="n"/>
      <c r="E61" s="166" t="n"/>
      <c r="F61" s="166" t="n"/>
      <c r="G61" s="166" t="n"/>
      <c r="H61" s="167">
        <f>E61+F61+G61</f>
        <v/>
      </c>
      <c r="I61" s="168" t="n"/>
      <c r="J61" s="167">
        <f>H61*(1+I61)</f>
        <v/>
      </c>
      <c r="K61" s="169" t="n"/>
      <c r="L61" s="170">
        <f>SUMIFS('HISTORIQUE DOCS'!$H$4:$H$1000,'HISTORIQUE DOCS'!$F$4:$F$1000,A61,'HISTORIQUE DOCS'!$C$4:$C$1000,"FACTURE",'HISTORIQUE DOCS'!$P$4:$P$1000,"VALIDÉ")</f>
        <v/>
      </c>
      <c r="M61" s="170">
        <f>K61-L61</f>
        <v/>
      </c>
      <c r="N61" s="169" t="n"/>
      <c r="O61" s="164" t="n"/>
      <c r="P61" s="164" t="n"/>
    </row>
    <row r="62">
      <c r="A62" s="164" t="n"/>
      <c r="B62" s="164" t="n"/>
      <c r="C62" s="164" t="n"/>
      <c r="D62" s="164" t="n"/>
      <c r="E62" s="166" t="n"/>
      <c r="F62" s="166" t="n"/>
      <c r="G62" s="166" t="n"/>
      <c r="H62" s="167">
        <f>E62+F62+G62</f>
        <v/>
      </c>
      <c r="I62" s="168" t="n"/>
      <c r="J62" s="167">
        <f>H62*(1+I62)</f>
        <v/>
      </c>
      <c r="K62" s="169" t="n"/>
      <c r="L62" s="170">
        <f>SUMIFS('HISTORIQUE DOCS'!$H$4:$H$1000,'HISTORIQUE DOCS'!$F$4:$F$1000,A62,'HISTORIQUE DOCS'!$C$4:$C$1000,"FACTURE",'HISTORIQUE DOCS'!$P$4:$P$1000,"VALIDÉ")</f>
        <v/>
      </c>
      <c r="M62" s="170">
        <f>K62-L62</f>
        <v/>
      </c>
      <c r="N62" s="169" t="n"/>
      <c r="O62" s="164" t="n"/>
      <c r="P62" s="164" t="n"/>
    </row>
    <row r="63">
      <c r="A63" s="164" t="n"/>
      <c r="B63" s="164" t="n"/>
      <c r="C63" s="164" t="n"/>
      <c r="D63" s="164" t="n"/>
      <c r="E63" s="166" t="n"/>
      <c r="F63" s="166" t="n"/>
      <c r="G63" s="166" t="n"/>
      <c r="H63" s="167">
        <f>E63+F63+G63</f>
        <v/>
      </c>
      <c r="I63" s="168" t="n"/>
      <c r="J63" s="167">
        <f>H63*(1+I63)</f>
        <v/>
      </c>
      <c r="K63" s="169" t="n"/>
      <c r="L63" s="170">
        <f>SUMIFS('HISTORIQUE DOCS'!$H$4:$H$1000,'HISTORIQUE DOCS'!$F$4:$F$1000,A63,'HISTORIQUE DOCS'!$C$4:$C$1000,"FACTURE",'HISTORIQUE DOCS'!$P$4:$P$1000,"VALIDÉ")</f>
        <v/>
      </c>
      <c r="M63" s="170">
        <f>K63-L63</f>
        <v/>
      </c>
      <c r="N63" s="169" t="n"/>
      <c r="O63" s="164" t="n"/>
      <c r="P63" s="164" t="n"/>
    </row>
    <row r="64">
      <c r="A64" s="164" t="n"/>
      <c r="B64" s="164" t="n"/>
      <c r="C64" s="164" t="n"/>
      <c r="D64" s="164" t="n"/>
      <c r="E64" s="166" t="n"/>
      <c r="F64" s="166" t="n"/>
      <c r="G64" s="166" t="n"/>
      <c r="H64" s="167">
        <f>E64+F64+G64</f>
        <v/>
      </c>
      <c r="I64" s="168" t="n"/>
      <c r="J64" s="167">
        <f>H64*(1+I64)</f>
        <v/>
      </c>
      <c r="K64" s="169" t="n"/>
      <c r="L64" s="170">
        <f>SUMIFS('HISTORIQUE DOCS'!$H$4:$H$1000,'HISTORIQUE DOCS'!$F$4:$F$1000,A64,'HISTORIQUE DOCS'!$C$4:$C$1000,"FACTURE",'HISTORIQUE DOCS'!$P$4:$P$1000,"VALIDÉ")</f>
        <v/>
      </c>
      <c r="M64" s="170">
        <f>K64-L64</f>
        <v/>
      </c>
      <c r="N64" s="169" t="n"/>
      <c r="O64" s="164" t="n"/>
      <c r="P64" s="164" t="n"/>
    </row>
    <row r="65">
      <c r="A65" s="164" t="n"/>
      <c r="B65" s="164" t="n"/>
      <c r="C65" s="164" t="n"/>
      <c r="D65" s="164" t="n"/>
      <c r="E65" s="166" t="n"/>
      <c r="F65" s="166" t="n"/>
      <c r="G65" s="166" t="n"/>
      <c r="H65" s="167">
        <f>E65+F65+G65</f>
        <v/>
      </c>
      <c r="I65" s="168" t="n"/>
      <c r="J65" s="167">
        <f>H65*(1+I65)</f>
        <v/>
      </c>
      <c r="K65" s="169" t="n"/>
      <c r="L65" s="170">
        <f>SUMIFS('HISTORIQUE DOCS'!$H$4:$H$1000,'HISTORIQUE DOCS'!$F$4:$F$1000,A65,'HISTORIQUE DOCS'!$C$4:$C$1000,"FACTURE",'HISTORIQUE DOCS'!$P$4:$P$1000,"VALIDÉ")</f>
        <v/>
      </c>
      <c r="M65" s="170">
        <f>K65-L65</f>
        <v/>
      </c>
      <c r="N65" s="169" t="n"/>
      <c r="O65" s="164" t="n"/>
      <c r="P65" s="164" t="n"/>
    </row>
    <row r="66">
      <c r="A66" s="164" t="n"/>
      <c r="B66" s="164" t="n"/>
      <c r="C66" s="164" t="n"/>
      <c r="D66" s="164" t="n"/>
      <c r="E66" s="166" t="n"/>
      <c r="F66" s="166" t="n"/>
      <c r="G66" s="166" t="n"/>
      <c r="H66" s="167">
        <f>E66+F66+G66</f>
        <v/>
      </c>
      <c r="I66" s="168" t="n"/>
      <c r="J66" s="167">
        <f>H66*(1+I66)</f>
        <v/>
      </c>
      <c r="K66" s="169" t="n"/>
      <c r="L66" s="170">
        <f>SUMIFS('HISTORIQUE DOCS'!$H$4:$H$1000,'HISTORIQUE DOCS'!$F$4:$F$1000,A66,'HISTORIQUE DOCS'!$C$4:$C$1000,"FACTURE",'HISTORIQUE DOCS'!$P$4:$P$1000,"VALIDÉ")</f>
        <v/>
      </c>
      <c r="M66" s="170">
        <f>K66-L66</f>
        <v/>
      </c>
      <c r="N66" s="169" t="n"/>
      <c r="O66" s="164" t="n"/>
      <c r="P66" s="164" t="n"/>
    </row>
    <row r="67">
      <c r="A67" s="164" t="n"/>
      <c r="B67" s="164" t="n"/>
      <c r="C67" s="164" t="n"/>
      <c r="D67" s="164" t="n"/>
      <c r="E67" s="166" t="n"/>
      <c r="F67" s="166" t="n"/>
      <c r="G67" s="166" t="n"/>
      <c r="H67" s="167">
        <f>E67+F67+G67</f>
        <v/>
      </c>
      <c r="I67" s="168" t="n"/>
      <c r="J67" s="167">
        <f>H67*(1+I67)</f>
        <v/>
      </c>
      <c r="K67" s="169" t="n"/>
      <c r="L67" s="170">
        <f>SUMIFS('HISTORIQUE DOCS'!$H$4:$H$1000,'HISTORIQUE DOCS'!$F$4:$F$1000,A67,'HISTORIQUE DOCS'!$C$4:$C$1000,"FACTURE",'HISTORIQUE DOCS'!$P$4:$P$1000,"VALIDÉ")</f>
        <v/>
      </c>
      <c r="M67" s="170">
        <f>K67-L67</f>
        <v/>
      </c>
      <c r="N67" s="169" t="n"/>
      <c r="O67" s="164" t="n"/>
      <c r="P67" s="164" t="n"/>
    </row>
    <row r="68">
      <c r="A68" s="164" t="n"/>
      <c r="B68" s="164" t="n"/>
      <c r="C68" s="164" t="n"/>
      <c r="D68" s="164" t="n"/>
      <c r="E68" s="166" t="n"/>
      <c r="F68" s="166" t="n"/>
      <c r="G68" s="166" t="n"/>
      <c r="H68" s="167">
        <f>E68+F68+G68</f>
        <v/>
      </c>
      <c r="I68" s="168" t="n"/>
      <c r="J68" s="167">
        <f>H68*(1+I68)</f>
        <v/>
      </c>
      <c r="K68" s="169" t="n"/>
      <c r="L68" s="170">
        <f>SUMIFS('HISTORIQUE DOCS'!$H$4:$H$1000,'HISTORIQUE DOCS'!$F$4:$F$1000,A68,'HISTORIQUE DOCS'!$C$4:$C$1000,"FACTURE",'HISTORIQUE DOCS'!$P$4:$P$1000,"VALIDÉ")</f>
        <v/>
      </c>
      <c r="M68" s="170">
        <f>K68-L68</f>
        <v/>
      </c>
      <c r="N68" s="169" t="n"/>
      <c r="O68" s="164" t="n"/>
      <c r="P68" s="164" t="n"/>
    </row>
    <row r="69">
      <c r="A69" s="164" t="n"/>
      <c r="B69" s="164" t="n"/>
      <c r="C69" s="164" t="n"/>
      <c r="D69" s="164" t="n"/>
      <c r="E69" s="166" t="n"/>
      <c r="F69" s="166" t="n"/>
      <c r="G69" s="166" t="n"/>
      <c r="H69" s="167">
        <f>E69+F69+G69</f>
        <v/>
      </c>
      <c r="I69" s="168" t="n"/>
      <c r="J69" s="167">
        <f>H69*(1+I69)</f>
        <v/>
      </c>
      <c r="K69" s="169" t="n"/>
      <c r="L69" s="170">
        <f>SUMIFS('HISTORIQUE DOCS'!$H$4:$H$1000,'HISTORIQUE DOCS'!$F$4:$F$1000,A69,'HISTORIQUE DOCS'!$C$4:$C$1000,"FACTURE",'HISTORIQUE DOCS'!$P$4:$P$1000,"VALIDÉ")</f>
        <v/>
      </c>
      <c r="M69" s="170">
        <f>K69-L69</f>
        <v/>
      </c>
      <c r="N69" s="169" t="n"/>
      <c r="O69" s="164" t="n"/>
      <c r="P69" s="164" t="n"/>
    </row>
    <row r="70">
      <c r="A70" s="164" t="n"/>
      <c r="B70" s="164" t="n"/>
      <c r="C70" s="164" t="n"/>
      <c r="D70" s="164" t="n"/>
      <c r="E70" s="166" t="n"/>
      <c r="F70" s="166" t="n"/>
      <c r="G70" s="166" t="n"/>
      <c r="H70" s="167">
        <f>E70+F70+G70</f>
        <v/>
      </c>
      <c r="I70" s="168" t="n"/>
      <c r="J70" s="167">
        <f>H70*(1+I70)</f>
        <v/>
      </c>
      <c r="K70" s="169" t="n"/>
      <c r="L70" s="170">
        <f>SUMIFS('HISTORIQUE DOCS'!$H$4:$H$1000,'HISTORIQUE DOCS'!$F$4:$F$1000,A70,'HISTORIQUE DOCS'!$C$4:$C$1000,"FACTURE",'HISTORIQUE DOCS'!$P$4:$P$1000,"VALIDÉ")</f>
        <v/>
      </c>
      <c r="M70" s="170">
        <f>K70-L70</f>
        <v/>
      </c>
      <c r="N70" s="169" t="n"/>
      <c r="O70" s="164" t="n"/>
      <c r="P70" s="164" t="n"/>
    </row>
    <row r="71">
      <c r="A71" s="164" t="n"/>
      <c r="B71" s="164" t="n"/>
      <c r="C71" s="164" t="n"/>
      <c r="D71" s="164" t="n"/>
      <c r="E71" s="166" t="n"/>
      <c r="F71" s="166" t="n"/>
      <c r="G71" s="166" t="n"/>
      <c r="H71" s="167">
        <f>E71+F71+G71</f>
        <v/>
      </c>
      <c r="I71" s="168" t="n"/>
      <c r="J71" s="167">
        <f>H71*(1+I71)</f>
        <v/>
      </c>
      <c r="K71" s="169" t="n"/>
      <c r="L71" s="170">
        <f>SUMIFS('HISTORIQUE DOCS'!$H$4:$H$1000,'HISTORIQUE DOCS'!$F$4:$F$1000,A71,'HISTORIQUE DOCS'!$C$4:$C$1000,"FACTURE",'HISTORIQUE DOCS'!$P$4:$P$1000,"VALIDÉ")</f>
        <v/>
      </c>
      <c r="M71" s="170">
        <f>K71-L71</f>
        <v/>
      </c>
      <c r="N71" s="169" t="n"/>
      <c r="O71" s="164" t="n"/>
      <c r="P71" s="164" t="n"/>
    </row>
    <row r="72">
      <c r="A72" s="164" t="n"/>
      <c r="B72" s="164" t="n"/>
      <c r="C72" s="164" t="n"/>
      <c r="D72" s="164" t="n"/>
      <c r="E72" s="166" t="n"/>
      <c r="F72" s="166" t="n"/>
      <c r="G72" s="166" t="n"/>
      <c r="H72" s="167">
        <f>E72+F72+G72</f>
        <v/>
      </c>
      <c r="I72" s="168" t="n"/>
      <c r="J72" s="167">
        <f>H72*(1+I72)</f>
        <v/>
      </c>
      <c r="K72" s="169" t="n"/>
      <c r="L72" s="170">
        <f>SUMIFS('HISTORIQUE DOCS'!$H$4:$H$1000,'HISTORIQUE DOCS'!$F$4:$F$1000,A72,'HISTORIQUE DOCS'!$C$4:$C$1000,"FACTURE",'HISTORIQUE DOCS'!$P$4:$P$1000,"VALIDÉ")</f>
        <v/>
      </c>
      <c r="M72" s="170">
        <f>K72-L72</f>
        <v/>
      </c>
      <c r="N72" s="169" t="n"/>
      <c r="O72" s="164" t="n"/>
      <c r="P72" s="164" t="n"/>
    </row>
    <row r="73">
      <c r="A73" s="164" t="n"/>
      <c r="B73" s="164" t="n"/>
      <c r="C73" s="164" t="n"/>
      <c r="D73" s="164" t="n"/>
      <c r="E73" s="166" t="n"/>
      <c r="F73" s="166" t="n"/>
      <c r="G73" s="166" t="n"/>
      <c r="H73" s="167">
        <f>E73+F73+G73</f>
        <v/>
      </c>
      <c r="I73" s="168" t="n"/>
      <c r="J73" s="167">
        <f>H73*(1+I73)</f>
        <v/>
      </c>
      <c r="K73" s="169" t="n"/>
      <c r="L73" s="170">
        <f>SUMIFS('HISTORIQUE DOCS'!$H$4:$H$1000,'HISTORIQUE DOCS'!$F$4:$F$1000,A73,'HISTORIQUE DOCS'!$C$4:$C$1000,"FACTURE",'HISTORIQUE DOCS'!$P$4:$P$1000,"VALIDÉ")</f>
        <v/>
      </c>
      <c r="M73" s="170">
        <f>K73-L73</f>
        <v/>
      </c>
      <c r="N73" s="169" t="n"/>
      <c r="O73" s="164" t="n"/>
      <c r="P73" s="164" t="n"/>
    </row>
    <row r="74">
      <c r="A74" s="164" t="n"/>
      <c r="B74" s="164" t="n"/>
      <c r="C74" s="164" t="n"/>
      <c r="D74" s="164" t="n"/>
      <c r="E74" s="166" t="n"/>
      <c r="F74" s="166" t="n"/>
      <c r="G74" s="166" t="n"/>
      <c r="H74" s="167">
        <f>E74+F74+G74</f>
        <v/>
      </c>
      <c r="I74" s="168" t="n"/>
      <c r="J74" s="167">
        <f>H74*(1+I74)</f>
        <v/>
      </c>
      <c r="K74" s="169" t="n"/>
      <c r="L74" s="170">
        <f>SUMIFS('HISTORIQUE DOCS'!$H$4:$H$1000,'HISTORIQUE DOCS'!$F$4:$F$1000,A74,'HISTORIQUE DOCS'!$C$4:$C$1000,"FACTURE",'HISTORIQUE DOCS'!$P$4:$P$1000,"VALIDÉ")</f>
        <v/>
      </c>
      <c r="M74" s="170">
        <f>K74-L74</f>
        <v/>
      </c>
      <c r="N74" s="169" t="n"/>
      <c r="O74" s="164" t="n"/>
      <c r="P74" s="164" t="n"/>
    </row>
    <row r="75">
      <c r="A75" s="164" t="n"/>
      <c r="B75" s="164" t="n"/>
      <c r="C75" s="164" t="n"/>
      <c r="D75" s="164" t="n"/>
      <c r="E75" s="166" t="n"/>
      <c r="F75" s="166" t="n"/>
      <c r="G75" s="166" t="n"/>
      <c r="H75" s="167">
        <f>E75+F75+G75</f>
        <v/>
      </c>
      <c r="I75" s="168" t="n"/>
      <c r="J75" s="167">
        <f>H75*(1+I75)</f>
        <v/>
      </c>
      <c r="K75" s="169" t="n"/>
      <c r="L75" s="170">
        <f>SUMIFS('HISTORIQUE DOCS'!$H$4:$H$1000,'HISTORIQUE DOCS'!$F$4:$F$1000,A75,'HISTORIQUE DOCS'!$C$4:$C$1000,"FACTURE",'HISTORIQUE DOCS'!$P$4:$P$1000,"VALIDÉ")</f>
        <v/>
      </c>
      <c r="M75" s="170">
        <f>K75-L75</f>
        <v/>
      </c>
      <c r="N75" s="169" t="n"/>
      <c r="O75" s="164" t="n"/>
      <c r="P75" s="164" t="n"/>
    </row>
    <row r="76">
      <c r="A76" s="164" t="n"/>
      <c r="B76" s="164" t="n"/>
      <c r="C76" s="164" t="n"/>
      <c r="D76" s="164" t="n"/>
      <c r="E76" s="166" t="n"/>
      <c r="F76" s="166" t="n"/>
      <c r="G76" s="166" t="n"/>
      <c r="H76" s="167">
        <f>E76+F76+G76</f>
        <v/>
      </c>
      <c r="I76" s="168" t="n"/>
      <c r="J76" s="167">
        <f>H76*(1+I76)</f>
        <v/>
      </c>
      <c r="K76" s="169" t="n"/>
      <c r="L76" s="170">
        <f>SUMIFS('HISTORIQUE DOCS'!$H$4:$H$1000,'HISTORIQUE DOCS'!$F$4:$F$1000,A76,'HISTORIQUE DOCS'!$C$4:$C$1000,"FACTURE",'HISTORIQUE DOCS'!$P$4:$P$1000,"VALIDÉ")</f>
        <v/>
      </c>
      <c r="M76" s="170">
        <f>K76-L76</f>
        <v/>
      </c>
      <c r="N76" s="169" t="n"/>
      <c r="O76" s="164" t="n"/>
      <c r="P76" s="164" t="n"/>
    </row>
    <row r="77">
      <c r="A77" s="164" t="n"/>
      <c r="B77" s="164" t="n"/>
      <c r="C77" s="164" t="n"/>
      <c r="D77" s="164" t="n"/>
      <c r="E77" s="166" t="n"/>
      <c r="F77" s="166" t="n"/>
      <c r="G77" s="166" t="n"/>
      <c r="H77" s="167">
        <f>E77+F77+G77</f>
        <v/>
      </c>
      <c r="I77" s="168" t="n"/>
      <c r="J77" s="167">
        <f>H77*(1+I77)</f>
        <v/>
      </c>
      <c r="K77" s="169" t="n"/>
      <c r="L77" s="170">
        <f>SUMIFS('HISTORIQUE DOCS'!$H$4:$H$1000,'HISTORIQUE DOCS'!$F$4:$F$1000,A77,'HISTORIQUE DOCS'!$C$4:$C$1000,"FACTURE",'HISTORIQUE DOCS'!$P$4:$P$1000,"VALIDÉ")</f>
        <v/>
      </c>
      <c r="M77" s="170">
        <f>K77-L77</f>
        <v/>
      </c>
      <c r="N77" s="169" t="n"/>
      <c r="O77" s="164" t="n"/>
      <c r="P77" s="164" t="n"/>
    </row>
    <row r="78">
      <c r="A78" s="164" t="n"/>
      <c r="B78" s="164" t="n"/>
      <c r="C78" s="164" t="n"/>
      <c r="D78" s="164" t="n"/>
      <c r="E78" s="166" t="n"/>
      <c r="F78" s="166" t="n"/>
      <c r="G78" s="166" t="n"/>
      <c r="H78" s="167">
        <f>E78+F78+G78</f>
        <v/>
      </c>
      <c r="I78" s="168" t="n"/>
      <c r="J78" s="167">
        <f>H78*(1+I78)</f>
        <v/>
      </c>
      <c r="K78" s="169" t="n"/>
      <c r="L78" s="170">
        <f>SUMIFS('HISTORIQUE DOCS'!$H$4:$H$1000,'HISTORIQUE DOCS'!$F$4:$F$1000,A78,'HISTORIQUE DOCS'!$C$4:$C$1000,"FACTURE",'HISTORIQUE DOCS'!$P$4:$P$1000,"VALIDÉ")</f>
        <v/>
      </c>
      <c r="M78" s="170">
        <f>K78-L78</f>
        <v/>
      </c>
      <c r="N78" s="169" t="n"/>
      <c r="O78" s="164" t="n"/>
      <c r="P78" s="164" t="n"/>
    </row>
    <row r="79">
      <c r="A79" s="164" t="n"/>
      <c r="B79" s="164" t="n"/>
      <c r="C79" s="164" t="n"/>
      <c r="D79" s="164" t="n"/>
      <c r="E79" s="166" t="n"/>
      <c r="F79" s="166" t="n"/>
      <c r="G79" s="166" t="n"/>
      <c r="H79" s="167">
        <f>E79+F79+G79</f>
        <v/>
      </c>
      <c r="I79" s="168" t="n"/>
      <c r="J79" s="167">
        <f>H79*(1+I79)</f>
        <v/>
      </c>
      <c r="K79" s="169" t="n"/>
      <c r="L79" s="170">
        <f>SUMIFS('HISTORIQUE DOCS'!$H$4:$H$1000,'HISTORIQUE DOCS'!$F$4:$F$1000,A79,'HISTORIQUE DOCS'!$C$4:$C$1000,"FACTURE",'HISTORIQUE DOCS'!$P$4:$P$1000,"VALIDÉ")</f>
        <v/>
      </c>
      <c r="M79" s="170">
        <f>K79-L79</f>
        <v/>
      </c>
      <c r="N79" s="169" t="n"/>
      <c r="O79" s="164" t="n"/>
      <c r="P79" s="164" t="n"/>
    </row>
    <row r="80">
      <c r="A80" s="164" t="n"/>
      <c r="B80" s="164" t="n"/>
      <c r="C80" s="164" t="n"/>
      <c r="D80" s="164" t="n"/>
      <c r="E80" s="166" t="n"/>
      <c r="F80" s="166" t="n"/>
      <c r="G80" s="166" t="n"/>
      <c r="H80" s="167">
        <f>E80+F80+G80</f>
        <v/>
      </c>
      <c r="I80" s="168" t="n"/>
      <c r="J80" s="167">
        <f>H80*(1+I80)</f>
        <v/>
      </c>
      <c r="K80" s="169" t="n"/>
      <c r="L80" s="170">
        <f>SUMIFS('HISTORIQUE DOCS'!$H$4:$H$1000,'HISTORIQUE DOCS'!$F$4:$F$1000,A80,'HISTORIQUE DOCS'!$C$4:$C$1000,"FACTURE",'HISTORIQUE DOCS'!$P$4:$P$1000,"VALIDÉ")</f>
        <v/>
      </c>
      <c r="M80" s="170">
        <f>K80-L80</f>
        <v/>
      </c>
      <c r="N80" s="169" t="n"/>
      <c r="O80" s="164" t="n"/>
      <c r="P80" s="164" t="n"/>
    </row>
    <row r="81">
      <c r="A81" s="164" t="n"/>
      <c r="B81" s="164" t="n"/>
      <c r="C81" s="164" t="n"/>
      <c r="D81" s="164" t="n"/>
      <c r="E81" s="166" t="n"/>
      <c r="F81" s="166" t="n"/>
      <c r="G81" s="166" t="n"/>
      <c r="H81" s="167">
        <f>E81+F81+G81</f>
        <v/>
      </c>
      <c r="I81" s="168" t="n"/>
      <c r="J81" s="167">
        <f>H81*(1+I81)</f>
        <v/>
      </c>
      <c r="K81" s="169" t="n"/>
      <c r="L81" s="170">
        <f>SUMIFS('HISTORIQUE DOCS'!$H$4:$H$1000,'HISTORIQUE DOCS'!$F$4:$F$1000,A81,'HISTORIQUE DOCS'!$C$4:$C$1000,"FACTURE",'HISTORIQUE DOCS'!$P$4:$P$1000,"VALIDÉ")</f>
        <v/>
      </c>
      <c r="M81" s="170">
        <f>K81-L81</f>
        <v/>
      </c>
      <c r="N81" s="169" t="n"/>
      <c r="O81" s="164" t="n"/>
      <c r="P81" s="164" t="n"/>
    </row>
    <row r="82">
      <c r="A82" s="164" t="n"/>
      <c r="B82" s="164" t="n"/>
      <c r="C82" s="164" t="n"/>
      <c r="D82" s="164" t="n"/>
      <c r="E82" s="166" t="n"/>
      <c r="F82" s="166" t="n"/>
      <c r="G82" s="166" t="n"/>
      <c r="H82" s="167">
        <f>E82+F82+G82</f>
        <v/>
      </c>
      <c r="I82" s="168" t="n"/>
      <c r="J82" s="167">
        <f>H82*(1+I82)</f>
        <v/>
      </c>
      <c r="K82" s="169" t="n"/>
      <c r="L82" s="170">
        <f>SUMIFS('HISTORIQUE DOCS'!$H$4:$H$1000,'HISTORIQUE DOCS'!$F$4:$F$1000,A82,'HISTORIQUE DOCS'!$C$4:$C$1000,"FACTURE",'HISTORIQUE DOCS'!$P$4:$P$1000,"VALIDÉ")</f>
        <v/>
      </c>
      <c r="M82" s="170">
        <f>K82-L82</f>
        <v/>
      </c>
      <c r="N82" s="169" t="n"/>
      <c r="O82" s="164" t="n"/>
      <c r="P82" s="164" t="n"/>
    </row>
    <row r="83">
      <c r="A83" s="164" t="n"/>
      <c r="B83" s="164" t="n"/>
      <c r="C83" s="164" t="n"/>
      <c r="D83" s="164" t="n"/>
      <c r="E83" s="166" t="n"/>
      <c r="F83" s="166" t="n"/>
      <c r="G83" s="166" t="n"/>
      <c r="H83" s="167">
        <f>E83+F83+G83</f>
        <v/>
      </c>
      <c r="I83" s="168" t="n"/>
      <c r="J83" s="167">
        <f>H83*(1+I83)</f>
        <v/>
      </c>
      <c r="K83" s="169" t="n"/>
      <c r="L83" s="170">
        <f>SUMIFS('HISTORIQUE DOCS'!$H$4:$H$1000,'HISTORIQUE DOCS'!$F$4:$F$1000,A83,'HISTORIQUE DOCS'!$C$4:$C$1000,"FACTURE",'HISTORIQUE DOCS'!$P$4:$P$1000,"VALIDÉ")</f>
        <v/>
      </c>
      <c r="M83" s="170">
        <f>K83-L83</f>
        <v/>
      </c>
      <c r="N83" s="169" t="n"/>
      <c r="O83" s="164" t="n"/>
      <c r="P83" s="164" t="n"/>
    </row>
    <row r="84">
      <c r="A84" s="164" t="n"/>
      <c r="B84" s="164" t="n"/>
      <c r="C84" s="164" t="n"/>
      <c r="D84" s="164" t="n"/>
      <c r="E84" s="166" t="n"/>
      <c r="F84" s="166" t="n"/>
      <c r="G84" s="166" t="n"/>
      <c r="H84" s="167">
        <f>E84+F84+G84</f>
        <v/>
      </c>
      <c r="I84" s="168" t="n"/>
      <c r="J84" s="167">
        <f>H84*(1+I84)</f>
        <v/>
      </c>
      <c r="K84" s="169" t="n"/>
      <c r="L84" s="170">
        <f>SUMIFS('HISTORIQUE DOCS'!$H$4:$H$1000,'HISTORIQUE DOCS'!$F$4:$F$1000,A84,'HISTORIQUE DOCS'!$C$4:$C$1000,"FACTURE",'HISTORIQUE DOCS'!$P$4:$P$1000,"VALIDÉ")</f>
        <v/>
      </c>
      <c r="M84" s="170">
        <f>K84-L84</f>
        <v/>
      </c>
      <c r="N84" s="169" t="n"/>
      <c r="O84" s="164" t="n"/>
      <c r="P84" s="164" t="n"/>
    </row>
    <row r="85">
      <c r="A85" s="164" t="n"/>
      <c r="B85" s="164" t="n"/>
      <c r="C85" s="164" t="n"/>
      <c r="D85" s="164" t="n"/>
      <c r="E85" s="166" t="n"/>
      <c r="F85" s="166" t="n"/>
      <c r="G85" s="166" t="n"/>
      <c r="H85" s="167">
        <f>E85+F85+G85</f>
        <v/>
      </c>
      <c r="I85" s="168" t="n"/>
      <c r="J85" s="167">
        <f>H85*(1+I85)</f>
        <v/>
      </c>
      <c r="K85" s="169" t="n"/>
      <c r="L85" s="170">
        <f>SUMIFS('HISTORIQUE DOCS'!$H$4:$H$1000,'HISTORIQUE DOCS'!$F$4:$F$1000,A85,'HISTORIQUE DOCS'!$C$4:$C$1000,"FACTURE",'HISTORIQUE DOCS'!$P$4:$P$1000,"VALIDÉ")</f>
        <v/>
      </c>
      <c r="M85" s="170">
        <f>K85-L85</f>
        <v/>
      </c>
      <c r="N85" s="169" t="n"/>
      <c r="O85" s="164" t="n"/>
      <c r="P85" s="164" t="n"/>
    </row>
    <row r="86">
      <c r="A86" s="164" t="n"/>
      <c r="B86" s="164" t="n"/>
      <c r="C86" s="164" t="n"/>
      <c r="D86" s="164" t="n"/>
      <c r="E86" s="166" t="n"/>
      <c r="F86" s="166" t="n"/>
      <c r="G86" s="166" t="n"/>
      <c r="H86" s="167">
        <f>E86+F86+G86</f>
        <v/>
      </c>
      <c r="I86" s="168" t="n"/>
      <c r="J86" s="167">
        <f>H86*(1+I86)</f>
        <v/>
      </c>
      <c r="K86" s="169" t="n"/>
      <c r="L86" s="170">
        <f>SUMIFS('HISTORIQUE DOCS'!$H$4:$H$1000,'HISTORIQUE DOCS'!$F$4:$F$1000,A86,'HISTORIQUE DOCS'!$C$4:$C$1000,"FACTURE",'HISTORIQUE DOCS'!$P$4:$P$1000,"VALIDÉ")</f>
        <v/>
      </c>
      <c r="M86" s="170">
        <f>K86-L86</f>
        <v/>
      </c>
      <c r="N86" s="169" t="n"/>
      <c r="O86" s="164" t="n"/>
      <c r="P86" s="164" t="n"/>
    </row>
    <row r="87">
      <c r="A87" s="164" t="n"/>
      <c r="B87" s="164" t="n"/>
      <c r="C87" s="164" t="n"/>
      <c r="D87" s="164" t="n"/>
      <c r="E87" s="166" t="n"/>
      <c r="F87" s="166" t="n"/>
      <c r="G87" s="166" t="n"/>
      <c r="H87" s="167">
        <f>E87+F87+G87</f>
        <v/>
      </c>
      <c r="I87" s="168" t="n"/>
      <c r="J87" s="167">
        <f>H87*(1+I87)</f>
        <v/>
      </c>
      <c r="K87" s="169" t="n"/>
      <c r="L87" s="170">
        <f>SUMIFS('HISTORIQUE DOCS'!$H$4:$H$1000,'HISTORIQUE DOCS'!$F$4:$F$1000,A87,'HISTORIQUE DOCS'!$C$4:$C$1000,"FACTURE",'HISTORIQUE DOCS'!$P$4:$P$1000,"VALIDÉ")</f>
        <v/>
      </c>
      <c r="M87" s="170">
        <f>K87-L87</f>
        <v/>
      </c>
      <c r="N87" s="169" t="n"/>
      <c r="O87" s="164" t="n"/>
      <c r="P87" s="164" t="n"/>
    </row>
    <row r="88">
      <c r="A88" s="164" t="n"/>
      <c r="B88" s="164" t="n"/>
      <c r="C88" s="164" t="n"/>
      <c r="D88" s="164" t="n"/>
      <c r="E88" s="166" t="n"/>
      <c r="F88" s="166" t="n"/>
      <c r="G88" s="166" t="n"/>
      <c r="H88" s="167">
        <f>E88+F88+G88</f>
        <v/>
      </c>
      <c r="I88" s="168" t="n"/>
      <c r="J88" s="167">
        <f>H88*(1+I88)</f>
        <v/>
      </c>
      <c r="K88" s="169" t="n"/>
      <c r="L88" s="170">
        <f>SUMIFS('HISTORIQUE DOCS'!$H$4:$H$1000,'HISTORIQUE DOCS'!$F$4:$F$1000,A88,'HISTORIQUE DOCS'!$C$4:$C$1000,"FACTURE",'HISTORIQUE DOCS'!$P$4:$P$1000,"VALIDÉ")</f>
        <v/>
      </c>
      <c r="M88" s="170">
        <f>K88-L88</f>
        <v/>
      </c>
      <c r="N88" s="169" t="n"/>
      <c r="O88" s="164" t="n"/>
      <c r="P88" s="164" t="n"/>
    </row>
    <row r="89">
      <c r="A89" s="164" t="n"/>
      <c r="B89" s="164" t="n"/>
      <c r="C89" s="164" t="n"/>
      <c r="D89" s="164" t="n"/>
      <c r="E89" s="166" t="n"/>
      <c r="F89" s="166" t="n"/>
      <c r="G89" s="166" t="n"/>
      <c r="H89" s="167">
        <f>E89+F89+G89</f>
        <v/>
      </c>
      <c r="I89" s="168" t="n"/>
      <c r="J89" s="167">
        <f>H89*(1+I89)</f>
        <v/>
      </c>
      <c r="K89" s="169" t="n"/>
      <c r="L89" s="170">
        <f>SUMIFS('HISTORIQUE DOCS'!$H$4:$H$1000,'HISTORIQUE DOCS'!$F$4:$F$1000,A89,'HISTORIQUE DOCS'!$C$4:$C$1000,"FACTURE",'HISTORIQUE DOCS'!$P$4:$P$1000,"VALIDÉ")</f>
        <v/>
      </c>
      <c r="M89" s="170">
        <f>K89-L89</f>
        <v/>
      </c>
      <c r="N89" s="169" t="n"/>
      <c r="O89" s="164" t="n"/>
      <c r="P89" s="164" t="n"/>
    </row>
    <row r="90">
      <c r="A90" s="164" t="n"/>
      <c r="B90" s="164" t="n"/>
      <c r="C90" s="164" t="n"/>
      <c r="D90" s="164" t="n"/>
      <c r="E90" s="166" t="n"/>
      <c r="F90" s="166" t="n"/>
      <c r="G90" s="166" t="n"/>
      <c r="H90" s="167">
        <f>E90+F90+G90</f>
        <v/>
      </c>
      <c r="I90" s="168" t="n"/>
      <c r="J90" s="167">
        <f>H90*(1+I90)</f>
        <v/>
      </c>
      <c r="K90" s="169" t="n"/>
      <c r="L90" s="170">
        <f>SUMIFS('HISTORIQUE DOCS'!$H$4:$H$1000,'HISTORIQUE DOCS'!$F$4:$F$1000,A90,'HISTORIQUE DOCS'!$C$4:$C$1000,"FACTURE",'HISTORIQUE DOCS'!$P$4:$P$1000,"VALIDÉ")</f>
        <v/>
      </c>
      <c r="M90" s="170">
        <f>K90-L90</f>
        <v/>
      </c>
      <c r="N90" s="169" t="n"/>
      <c r="O90" s="164" t="n"/>
      <c r="P90" s="164" t="n"/>
    </row>
    <row r="91">
      <c r="A91" s="164" t="n"/>
      <c r="B91" s="164" t="n"/>
      <c r="C91" s="164" t="n"/>
      <c r="D91" s="164" t="n"/>
      <c r="E91" s="166" t="n"/>
      <c r="F91" s="166" t="n"/>
      <c r="G91" s="166" t="n"/>
      <c r="H91" s="167">
        <f>E91+F91+G91</f>
        <v/>
      </c>
      <c r="I91" s="168" t="n"/>
      <c r="J91" s="167">
        <f>H91*(1+I91)</f>
        <v/>
      </c>
      <c r="K91" s="169" t="n"/>
      <c r="L91" s="170">
        <f>SUMIFS('HISTORIQUE DOCS'!$H$4:$H$1000,'HISTORIQUE DOCS'!$F$4:$F$1000,A91,'HISTORIQUE DOCS'!$C$4:$C$1000,"FACTURE",'HISTORIQUE DOCS'!$P$4:$P$1000,"VALIDÉ")</f>
        <v/>
      </c>
      <c r="M91" s="170">
        <f>K91-L91</f>
        <v/>
      </c>
      <c r="N91" s="169" t="n"/>
      <c r="O91" s="164" t="n"/>
      <c r="P91" s="164" t="n"/>
    </row>
    <row r="92">
      <c r="A92" s="164" t="n"/>
      <c r="B92" s="164" t="n"/>
      <c r="C92" s="164" t="n"/>
      <c r="D92" s="164" t="n"/>
      <c r="E92" s="166" t="n"/>
      <c r="F92" s="166" t="n"/>
      <c r="G92" s="166" t="n"/>
      <c r="H92" s="167">
        <f>E92+F92+G92</f>
        <v/>
      </c>
      <c r="I92" s="168" t="n"/>
      <c r="J92" s="167">
        <f>H92*(1+I92)</f>
        <v/>
      </c>
      <c r="K92" s="169" t="n"/>
      <c r="L92" s="170">
        <f>SUMIFS('HISTORIQUE DOCS'!$H$4:$H$1000,'HISTORIQUE DOCS'!$F$4:$F$1000,A92,'HISTORIQUE DOCS'!$C$4:$C$1000,"FACTURE",'HISTORIQUE DOCS'!$P$4:$P$1000,"VALIDÉ")</f>
        <v/>
      </c>
      <c r="M92" s="170">
        <f>K92-L92</f>
        <v/>
      </c>
      <c r="N92" s="169" t="n"/>
      <c r="O92" s="164" t="n"/>
      <c r="P92" s="164" t="n"/>
    </row>
    <row r="93">
      <c r="A93" s="164" t="n"/>
      <c r="B93" s="164" t="n"/>
      <c r="C93" s="164" t="n"/>
      <c r="D93" s="164" t="n"/>
      <c r="E93" s="166" t="n"/>
      <c r="F93" s="166" t="n"/>
      <c r="G93" s="166" t="n"/>
      <c r="H93" s="167">
        <f>E93+F93+G93</f>
        <v/>
      </c>
      <c r="I93" s="168" t="n"/>
      <c r="J93" s="167">
        <f>H93*(1+I93)</f>
        <v/>
      </c>
      <c r="K93" s="169" t="n"/>
      <c r="L93" s="170">
        <f>SUMIFS('HISTORIQUE DOCS'!$H$4:$H$1000,'HISTORIQUE DOCS'!$F$4:$F$1000,A93,'HISTORIQUE DOCS'!$C$4:$C$1000,"FACTURE",'HISTORIQUE DOCS'!$P$4:$P$1000,"VALIDÉ")</f>
        <v/>
      </c>
      <c r="M93" s="170">
        <f>K93-L93</f>
        <v/>
      </c>
      <c r="N93" s="169" t="n"/>
      <c r="O93" s="164" t="n"/>
      <c r="P93" s="164" t="n"/>
    </row>
    <row r="94">
      <c r="A94" s="164" t="n"/>
      <c r="B94" s="164" t="n"/>
      <c r="C94" s="164" t="n"/>
      <c r="D94" s="164" t="n"/>
      <c r="E94" s="166" t="n"/>
      <c r="F94" s="166" t="n"/>
      <c r="G94" s="166" t="n"/>
      <c r="H94" s="167">
        <f>E94+F94+G94</f>
        <v/>
      </c>
      <c r="I94" s="168" t="n"/>
      <c r="J94" s="167">
        <f>H94*(1+I94)</f>
        <v/>
      </c>
      <c r="K94" s="169" t="n"/>
      <c r="L94" s="170">
        <f>SUMIFS('HISTORIQUE DOCS'!$H$4:$H$1000,'HISTORIQUE DOCS'!$F$4:$F$1000,A94,'HISTORIQUE DOCS'!$C$4:$C$1000,"FACTURE",'HISTORIQUE DOCS'!$P$4:$P$1000,"VALIDÉ")</f>
        <v/>
      </c>
      <c r="M94" s="170">
        <f>K94-L94</f>
        <v/>
      </c>
      <c r="N94" s="169" t="n"/>
      <c r="O94" s="164" t="n"/>
      <c r="P94" s="164" t="n"/>
    </row>
    <row r="95">
      <c r="A95" s="164" t="n"/>
      <c r="B95" s="164" t="n"/>
      <c r="C95" s="164" t="n"/>
      <c r="D95" s="164" t="n"/>
      <c r="E95" s="166" t="n"/>
      <c r="F95" s="166" t="n"/>
      <c r="G95" s="166" t="n"/>
      <c r="H95" s="167">
        <f>E95+F95+G95</f>
        <v/>
      </c>
      <c r="I95" s="168" t="n"/>
      <c r="J95" s="167">
        <f>H95*(1+I95)</f>
        <v/>
      </c>
      <c r="K95" s="169" t="n"/>
      <c r="L95" s="170">
        <f>SUMIFS('HISTORIQUE DOCS'!$H$4:$H$1000,'HISTORIQUE DOCS'!$F$4:$F$1000,A95,'HISTORIQUE DOCS'!$C$4:$C$1000,"FACTURE",'HISTORIQUE DOCS'!$P$4:$P$1000,"VALIDÉ")</f>
        <v/>
      </c>
      <c r="M95" s="170">
        <f>K95-L95</f>
        <v/>
      </c>
      <c r="N95" s="169" t="n"/>
      <c r="O95" s="164" t="n"/>
      <c r="P95" s="164" t="n"/>
    </row>
    <row r="96">
      <c r="A96" s="164" t="n"/>
      <c r="B96" s="164" t="n"/>
      <c r="C96" s="164" t="n"/>
      <c r="D96" s="164" t="n"/>
      <c r="E96" s="166" t="n"/>
      <c r="F96" s="166" t="n"/>
      <c r="G96" s="166" t="n"/>
      <c r="H96" s="167">
        <f>E96+F96+G96</f>
        <v/>
      </c>
      <c r="I96" s="168" t="n"/>
      <c r="J96" s="167">
        <f>H96*(1+I96)</f>
        <v/>
      </c>
      <c r="K96" s="169" t="n"/>
      <c r="L96" s="170">
        <f>SUMIFS('HISTORIQUE DOCS'!$H$4:$H$1000,'HISTORIQUE DOCS'!$F$4:$F$1000,A96,'HISTORIQUE DOCS'!$C$4:$C$1000,"FACTURE",'HISTORIQUE DOCS'!$P$4:$P$1000,"VALIDÉ")</f>
        <v/>
      </c>
      <c r="M96" s="170">
        <f>K96-L96</f>
        <v/>
      </c>
      <c r="N96" s="169" t="n"/>
      <c r="O96" s="164" t="n"/>
      <c r="P96" s="164" t="n"/>
    </row>
    <row r="97">
      <c r="A97" s="164" t="n"/>
      <c r="B97" s="164" t="n"/>
      <c r="C97" s="164" t="n"/>
      <c r="D97" s="164" t="n"/>
      <c r="E97" s="166" t="n"/>
      <c r="F97" s="166" t="n"/>
      <c r="G97" s="166" t="n"/>
      <c r="H97" s="167">
        <f>E97+F97+G97</f>
        <v/>
      </c>
      <c r="I97" s="168" t="n"/>
      <c r="J97" s="167">
        <f>H97*(1+I97)</f>
        <v/>
      </c>
      <c r="K97" s="169" t="n"/>
      <c r="L97" s="170">
        <f>SUMIFS('HISTORIQUE DOCS'!$H$4:$H$1000,'HISTORIQUE DOCS'!$F$4:$F$1000,A97,'HISTORIQUE DOCS'!$C$4:$C$1000,"FACTURE",'HISTORIQUE DOCS'!$P$4:$P$1000,"VALIDÉ")</f>
        <v/>
      </c>
      <c r="M97" s="170">
        <f>K97-L97</f>
        <v/>
      </c>
      <c r="N97" s="169" t="n"/>
      <c r="O97" s="164" t="n"/>
      <c r="P97" s="164" t="n"/>
    </row>
    <row r="98">
      <c r="A98" s="164" t="n"/>
      <c r="B98" s="164" t="n"/>
      <c r="C98" s="164" t="n"/>
      <c r="D98" s="164" t="n"/>
      <c r="E98" s="166" t="n"/>
      <c r="F98" s="166" t="n"/>
      <c r="G98" s="166" t="n"/>
      <c r="H98" s="167">
        <f>E98+F98+G98</f>
        <v/>
      </c>
      <c r="I98" s="168" t="n"/>
      <c r="J98" s="167">
        <f>H98*(1+I98)</f>
        <v/>
      </c>
      <c r="K98" s="169" t="n"/>
      <c r="L98" s="170">
        <f>SUMIFS('HISTORIQUE DOCS'!$H$4:$H$1000,'HISTORIQUE DOCS'!$F$4:$F$1000,A98,'HISTORIQUE DOCS'!$C$4:$C$1000,"FACTURE",'HISTORIQUE DOCS'!$P$4:$P$1000,"VALIDÉ")</f>
        <v/>
      </c>
      <c r="M98" s="170">
        <f>K98-L98</f>
        <v/>
      </c>
      <c r="N98" s="169" t="n"/>
      <c r="O98" s="164" t="n"/>
      <c r="P98" s="164" t="n"/>
    </row>
    <row r="99">
      <c r="A99" s="164" t="n"/>
      <c r="B99" s="164" t="n"/>
      <c r="C99" s="164" t="n"/>
      <c r="D99" s="164" t="n"/>
      <c r="E99" s="166" t="n"/>
      <c r="F99" s="166" t="n"/>
      <c r="G99" s="166" t="n"/>
      <c r="H99" s="167">
        <f>E99+F99+G99</f>
        <v/>
      </c>
      <c r="I99" s="168" t="n"/>
      <c r="J99" s="167">
        <f>H99*(1+I99)</f>
        <v/>
      </c>
      <c r="K99" s="169" t="n"/>
      <c r="L99" s="170">
        <f>SUMIFS('HISTORIQUE DOCS'!$H$4:$H$1000,'HISTORIQUE DOCS'!$F$4:$F$1000,A99,'HISTORIQUE DOCS'!$C$4:$C$1000,"FACTURE",'HISTORIQUE DOCS'!$P$4:$P$1000,"VALIDÉ")</f>
        <v/>
      </c>
      <c r="M99" s="170">
        <f>K99-L99</f>
        <v/>
      </c>
      <c r="N99" s="169" t="n"/>
      <c r="O99" s="164" t="n"/>
      <c r="P99" s="164" t="n"/>
    </row>
    <row r="100">
      <c r="A100" s="164" t="n"/>
      <c r="B100" s="164" t="n"/>
      <c r="C100" s="164" t="n"/>
      <c r="D100" s="164" t="n"/>
      <c r="E100" s="166" t="n"/>
      <c r="F100" s="166" t="n"/>
      <c r="G100" s="166" t="n"/>
      <c r="H100" s="167">
        <f>E100+F100+G100</f>
        <v/>
      </c>
      <c r="I100" s="168" t="n"/>
      <c r="J100" s="167">
        <f>H100*(1+I100)</f>
        <v/>
      </c>
      <c r="K100" s="169" t="n"/>
      <c r="L100" s="170">
        <f>SUMIFS('HISTORIQUE DOCS'!$H$4:$H$1000,'HISTORIQUE DOCS'!$F$4:$F$1000,A100,'HISTORIQUE DOCS'!$C$4:$C$1000,"FACTURE",'HISTORIQUE DOCS'!$P$4:$P$1000,"VALIDÉ")</f>
        <v/>
      </c>
      <c r="M100" s="170">
        <f>K100-L100</f>
        <v/>
      </c>
      <c r="N100" s="169" t="n"/>
      <c r="O100" s="164" t="n"/>
      <c r="P100" s="164" t="n"/>
    </row>
    <row r="101">
      <c r="A101" s="164" t="n"/>
      <c r="B101" s="164" t="n"/>
      <c r="C101" s="164" t="n"/>
      <c r="D101" s="164" t="n"/>
      <c r="E101" s="166" t="n"/>
      <c r="F101" s="166" t="n"/>
      <c r="G101" s="166" t="n"/>
      <c r="H101" s="167">
        <f>E101+F101+G101</f>
        <v/>
      </c>
      <c r="I101" s="168" t="n"/>
      <c r="J101" s="167">
        <f>H101*(1+I101)</f>
        <v/>
      </c>
      <c r="K101" s="169" t="n"/>
      <c r="L101" s="170">
        <f>SUMIFS('HISTORIQUE DOCS'!$H$4:$H$1000,'HISTORIQUE DOCS'!$F$4:$F$1000,A101,'HISTORIQUE DOCS'!$C$4:$C$1000,"FACTURE",'HISTORIQUE DOCS'!$P$4:$P$1000,"VALIDÉ")</f>
        <v/>
      </c>
      <c r="M101" s="170">
        <f>K101-L101</f>
        <v/>
      </c>
      <c r="N101" s="169" t="n"/>
      <c r="O101" s="164" t="n"/>
      <c r="P101" s="164" t="n"/>
    </row>
    <row r="102">
      <c r="A102" s="164" t="n"/>
      <c r="B102" s="164" t="n"/>
      <c r="C102" s="164" t="n"/>
      <c r="D102" s="164" t="n"/>
      <c r="E102" s="166" t="n"/>
      <c r="F102" s="166" t="n"/>
      <c r="G102" s="166" t="n"/>
      <c r="H102" s="167">
        <f>E102+F102+G102</f>
        <v/>
      </c>
      <c r="I102" s="168" t="n"/>
      <c r="J102" s="167">
        <f>H102*(1+I102)</f>
        <v/>
      </c>
      <c r="K102" s="169" t="n"/>
      <c r="L102" s="170">
        <f>SUMIFS('HISTORIQUE DOCS'!$H$4:$H$1000,'HISTORIQUE DOCS'!$F$4:$F$1000,A102,'HISTORIQUE DOCS'!$C$4:$C$1000,"FACTURE",'HISTORIQUE DOCS'!$P$4:$P$1000,"VALIDÉ")</f>
        <v/>
      </c>
      <c r="M102" s="170">
        <f>K102-L102</f>
        <v/>
      </c>
      <c r="N102" s="169" t="n"/>
      <c r="O102" s="164" t="n"/>
      <c r="P102" s="164" t="n"/>
    </row>
    <row r="103">
      <c r="A103" s="164" t="n"/>
      <c r="B103" s="164" t="n"/>
      <c r="C103" s="164" t="n"/>
      <c r="D103" s="164" t="n"/>
      <c r="E103" s="166" t="n"/>
      <c r="F103" s="166" t="n"/>
      <c r="G103" s="166" t="n"/>
      <c r="H103" s="167">
        <f>E103+F103+G103</f>
        <v/>
      </c>
      <c r="I103" s="168" t="n"/>
      <c r="J103" s="167">
        <f>H103*(1+I103)</f>
        <v/>
      </c>
      <c r="K103" s="169" t="n"/>
      <c r="L103" s="170">
        <f>SUMIFS('HISTORIQUE DOCS'!$H$4:$H$1000,'HISTORIQUE DOCS'!$F$4:$F$1000,A103,'HISTORIQUE DOCS'!$C$4:$C$1000,"FACTURE",'HISTORIQUE DOCS'!$P$4:$P$1000,"VALIDÉ")</f>
        <v/>
      </c>
      <c r="M103" s="170">
        <f>K103-L103</f>
        <v/>
      </c>
      <c r="N103" s="169" t="n"/>
      <c r="O103" s="164" t="n"/>
      <c r="P103" s="164" t="n"/>
    </row>
    <row r="104">
      <c r="A104" s="164" t="n"/>
      <c r="B104" s="164" t="n"/>
      <c r="C104" s="164" t="n"/>
      <c r="D104" s="164" t="n"/>
      <c r="E104" s="166" t="n"/>
      <c r="F104" s="166" t="n"/>
      <c r="G104" s="166" t="n"/>
      <c r="H104" s="167">
        <f>E104+F104+G104</f>
        <v/>
      </c>
      <c r="I104" s="168" t="n"/>
      <c r="J104" s="167">
        <f>H104*(1+I104)</f>
        <v/>
      </c>
      <c r="K104" s="169" t="n"/>
      <c r="L104" s="170">
        <f>SUMIFS('HISTORIQUE DOCS'!$H$4:$H$1000,'HISTORIQUE DOCS'!$F$4:$F$1000,A104,'HISTORIQUE DOCS'!$C$4:$C$1000,"FACTURE",'HISTORIQUE DOCS'!$P$4:$P$1000,"VALIDÉ")</f>
        <v/>
      </c>
      <c r="M104" s="170">
        <f>K104-L104</f>
        <v/>
      </c>
      <c r="N104" s="169" t="n"/>
      <c r="O104" s="164" t="n"/>
      <c r="P104" s="164" t="n"/>
    </row>
    <row r="105">
      <c r="A105" s="164" t="n"/>
      <c r="B105" s="164" t="n"/>
      <c r="C105" s="164" t="n"/>
      <c r="D105" s="164" t="n"/>
      <c r="E105" s="166" t="n"/>
      <c r="F105" s="166" t="n"/>
      <c r="G105" s="166" t="n"/>
      <c r="H105" s="167">
        <f>E105+F105+G105</f>
        <v/>
      </c>
      <c r="I105" s="168" t="n"/>
      <c r="J105" s="167">
        <f>H105*(1+I105)</f>
        <v/>
      </c>
      <c r="K105" s="169" t="n"/>
      <c r="L105" s="170">
        <f>SUMIFS('HISTORIQUE DOCS'!$H$4:$H$1000,'HISTORIQUE DOCS'!$F$4:$F$1000,A105,'HISTORIQUE DOCS'!$C$4:$C$1000,"FACTURE",'HISTORIQUE DOCS'!$P$4:$P$1000,"VALIDÉ")</f>
        <v/>
      </c>
      <c r="M105" s="170">
        <f>K105-L105</f>
        <v/>
      </c>
      <c r="N105" s="169" t="n"/>
      <c r="O105" s="164" t="n"/>
      <c r="P105" s="164" t="n"/>
    </row>
    <row r="106">
      <c r="A106" s="164" t="n"/>
      <c r="B106" s="164" t="n"/>
      <c r="C106" s="164" t="n"/>
      <c r="D106" s="164" t="n"/>
      <c r="E106" s="166" t="n"/>
      <c r="F106" s="166" t="n"/>
      <c r="G106" s="166" t="n"/>
      <c r="H106" s="167">
        <f>E106+F106+G106</f>
        <v/>
      </c>
      <c r="I106" s="168" t="n"/>
      <c r="J106" s="167">
        <f>H106*(1+I106)</f>
        <v/>
      </c>
      <c r="K106" s="169" t="n"/>
      <c r="L106" s="170">
        <f>SUMIFS('HISTORIQUE DOCS'!$H$4:$H$1000,'HISTORIQUE DOCS'!$F$4:$F$1000,A106,'HISTORIQUE DOCS'!$C$4:$C$1000,"FACTURE",'HISTORIQUE DOCS'!$P$4:$P$1000,"VALIDÉ")</f>
        <v/>
      </c>
      <c r="M106" s="170">
        <f>K106-L106</f>
        <v/>
      </c>
      <c r="N106" s="169" t="n"/>
      <c r="O106" s="164" t="n"/>
      <c r="P106" s="164" t="n"/>
    </row>
    <row r="107">
      <c r="A107" s="164" t="n"/>
      <c r="B107" s="164" t="n"/>
      <c r="C107" s="164" t="n"/>
      <c r="D107" s="164" t="n"/>
      <c r="E107" s="166" t="n"/>
      <c r="F107" s="166" t="n"/>
      <c r="G107" s="166" t="n"/>
      <c r="H107" s="167">
        <f>E107+F107+G107</f>
        <v/>
      </c>
      <c r="I107" s="168" t="n"/>
      <c r="J107" s="167">
        <f>H107*(1+I107)</f>
        <v/>
      </c>
      <c r="K107" s="169" t="n"/>
      <c r="L107" s="170">
        <f>SUMIFS('HISTORIQUE DOCS'!$H$4:$H$1000,'HISTORIQUE DOCS'!$F$4:$F$1000,A107,'HISTORIQUE DOCS'!$C$4:$C$1000,"FACTURE",'HISTORIQUE DOCS'!$P$4:$P$1000,"VALIDÉ")</f>
        <v/>
      </c>
      <c r="M107" s="170">
        <f>K107-L107</f>
        <v/>
      </c>
      <c r="N107" s="169" t="n"/>
      <c r="O107" s="164" t="n"/>
      <c r="P107" s="164" t="n"/>
    </row>
    <row r="108">
      <c r="A108" s="164" t="n"/>
      <c r="B108" s="164" t="n"/>
      <c r="C108" s="164" t="n"/>
      <c r="D108" s="164" t="n"/>
      <c r="E108" s="166" t="n"/>
      <c r="F108" s="166" t="n"/>
      <c r="G108" s="166" t="n"/>
      <c r="H108" s="167">
        <f>E108+F108+G108</f>
        <v/>
      </c>
      <c r="I108" s="168" t="n"/>
      <c r="J108" s="167">
        <f>H108*(1+I108)</f>
        <v/>
      </c>
      <c r="K108" s="169" t="n"/>
      <c r="L108" s="170">
        <f>SUMIFS('HISTORIQUE DOCS'!$H$4:$H$1000,'HISTORIQUE DOCS'!$F$4:$F$1000,A108,'HISTORIQUE DOCS'!$C$4:$C$1000,"FACTURE",'HISTORIQUE DOCS'!$P$4:$P$1000,"VALIDÉ")</f>
        <v/>
      </c>
      <c r="M108" s="170">
        <f>K108-L108</f>
        <v/>
      </c>
      <c r="N108" s="169" t="n"/>
      <c r="O108" s="164" t="n"/>
      <c r="P108" s="164" t="n"/>
    </row>
    <row r="109">
      <c r="A109" s="164" t="n"/>
      <c r="B109" s="164" t="n"/>
      <c r="C109" s="164" t="n"/>
      <c r="D109" s="164" t="n"/>
      <c r="E109" s="166" t="n"/>
      <c r="F109" s="166" t="n"/>
      <c r="G109" s="166" t="n"/>
      <c r="H109" s="167">
        <f>E109+F109+G109</f>
        <v/>
      </c>
      <c r="I109" s="168" t="n"/>
      <c r="J109" s="167">
        <f>H109*(1+I109)</f>
        <v/>
      </c>
      <c r="K109" s="169" t="n"/>
      <c r="L109" s="170">
        <f>SUMIFS('HISTORIQUE DOCS'!$H$4:$H$1000,'HISTORIQUE DOCS'!$F$4:$F$1000,A109,'HISTORIQUE DOCS'!$C$4:$C$1000,"FACTURE",'HISTORIQUE DOCS'!$P$4:$P$1000,"VALIDÉ")</f>
        <v/>
      </c>
      <c r="M109" s="170">
        <f>K109-L109</f>
        <v/>
      </c>
      <c r="N109" s="169" t="n"/>
      <c r="O109" s="164" t="n"/>
      <c r="P109" s="164" t="n"/>
    </row>
    <row r="110">
      <c r="A110" s="164" t="n"/>
      <c r="B110" s="164" t="n"/>
      <c r="C110" s="164" t="n"/>
      <c r="D110" s="164" t="n"/>
      <c r="E110" s="166" t="n"/>
      <c r="F110" s="166" t="n"/>
      <c r="G110" s="166" t="n"/>
      <c r="H110" s="167">
        <f>E110+F110+G110</f>
        <v/>
      </c>
      <c r="I110" s="168" t="n"/>
      <c r="J110" s="167">
        <f>H110*(1+I110)</f>
        <v/>
      </c>
      <c r="K110" s="169" t="n"/>
      <c r="L110" s="170">
        <f>SUMIFS('HISTORIQUE DOCS'!$H$4:$H$1000,'HISTORIQUE DOCS'!$F$4:$F$1000,A110,'HISTORIQUE DOCS'!$C$4:$C$1000,"FACTURE",'HISTORIQUE DOCS'!$P$4:$P$1000,"VALIDÉ")</f>
        <v/>
      </c>
      <c r="M110" s="170">
        <f>K110-L110</f>
        <v/>
      </c>
      <c r="N110" s="169" t="n"/>
      <c r="O110" s="164" t="n"/>
      <c r="P110" s="164" t="n"/>
    </row>
    <row r="111">
      <c r="A111" s="164" t="n"/>
      <c r="B111" s="164" t="n"/>
      <c r="C111" s="164" t="n"/>
      <c r="D111" s="164" t="n"/>
      <c r="E111" s="166" t="n"/>
      <c r="F111" s="166" t="n"/>
      <c r="G111" s="166" t="n"/>
      <c r="H111" s="167">
        <f>E111+F111+G111</f>
        <v/>
      </c>
      <c r="I111" s="168" t="n"/>
      <c r="J111" s="167">
        <f>H111*(1+I111)</f>
        <v/>
      </c>
      <c r="K111" s="169" t="n"/>
      <c r="L111" s="170">
        <f>SUMIFS('HISTORIQUE DOCS'!$H$4:$H$1000,'HISTORIQUE DOCS'!$F$4:$F$1000,A111,'HISTORIQUE DOCS'!$C$4:$C$1000,"FACTURE",'HISTORIQUE DOCS'!$P$4:$P$1000,"VALIDÉ")</f>
        <v/>
      </c>
      <c r="M111" s="170">
        <f>K111-L111</f>
        <v/>
      </c>
      <c r="N111" s="169" t="n"/>
      <c r="O111" s="164" t="n"/>
      <c r="P111" s="164" t="n"/>
    </row>
    <row r="112">
      <c r="A112" s="164" t="n"/>
      <c r="B112" s="164" t="n"/>
      <c r="C112" s="164" t="n"/>
      <c r="D112" s="164" t="n"/>
      <c r="E112" s="166" t="n"/>
      <c r="F112" s="166" t="n"/>
      <c r="G112" s="166" t="n"/>
      <c r="H112" s="167">
        <f>E112+F112+G112</f>
        <v/>
      </c>
      <c r="I112" s="168" t="n"/>
      <c r="J112" s="167">
        <f>H112*(1+I112)</f>
        <v/>
      </c>
      <c r="K112" s="169" t="n"/>
      <c r="L112" s="170">
        <f>SUMIFS('HISTORIQUE DOCS'!$H$4:$H$1000,'HISTORIQUE DOCS'!$F$4:$F$1000,A112,'HISTORIQUE DOCS'!$C$4:$C$1000,"FACTURE",'HISTORIQUE DOCS'!$P$4:$P$1000,"VALIDÉ")</f>
        <v/>
      </c>
      <c r="M112" s="170">
        <f>K112-L112</f>
        <v/>
      </c>
      <c r="N112" s="169" t="n"/>
      <c r="O112" s="164" t="n"/>
      <c r="P112" s="164" t="n"/>
    </row>
    <row r="113">
      <c r="A113" s="164" t="n"/>
      <c r="B113" s="164" t="n"/>
      <c r="C113" s="164" t="n"/>
      <c r="D113" s="164" t="n"/>
      <c r="E113" s="166" t="n"/>
      <c r="F113" s="166" t="n"/>
      <c r="G113" s="166" t="n"/>
      <c r="H113" s="167">
        <f>E113+F113+G113</f>
        <v/>
      </c>
      <c r="I113" s="168" t="n"/>
      <c r="J113" s="167">
        <f>H113*(1+I113)</f>
        <v/>
      </c>
      <c r="K113" s="169" t="n"/>
      <c r="L113" s="170">
        <f>SUMIFS('HISTORIQUE DOCS'!$H$4:$H$1000,'HISTORIQUE DOCS'!$F$4:$F$1000,A113,'HISTORIQUE DOCS'!$C$4:$C$1000,"FACTURE",'HISTORIQUE DOCS'!$P$4:$P$1000,"VALIDÉ")</f>
        <v/>
      </c>
      <c r="M113" s="170">
        <f>K113-L113</f>
        <v/>
      </c>
      <c r="N113" s="169" t="n"/>
      <c r="O113" s="164" t="n"/>
      <c r="P113" s="164" t="n"/>
    </row>
    <row r="114">
      <c r="A114" s="164" t="n"/>
      <c r="B114" s="164" t="n"/>
      <c r="C114" s="164" t="n"/>
      <c r="D114" s="164" t="n"/>
      <c r="E114" s="166" t="n"/>
      <c r="F114" s="166" t="n"/>
      <c r="G114" s="166" t="n"/>
      <c r="H114" s="167">
        <f>E114+F114+G114</f>
        <v/>
      </c>
      <c r="I114" s="168" t="n"/>
      <c r="J114" s="167">
        <f>H114*(1+I114)</f>
        <v/>
      </c>
      <c r="K114" s="169" t="n"/>
      <c r="L114" s="170">
        <f>SUMIFS('HISTORIQUE DOCS'!$H$4:$H$1000,'HISTORIQUE DOCS'!$F$4:$F$1000,A114,'HISTORIQUE DOCS'!$C$4:$C$1000,"FACTURE",'HISTORIQUE DOCS'!$P$4:$P$1000,"VALIDÉ")</f>
        <v/>
      </c>
      <c r="M114" s="170">
        <f>K114-L114</f>
        <v/>
      </c>
      <c r="N114" s="169" t="n"/>
      <c r="O114" s="164" t="n"/>
      <c r="P114" s="164" t="n"/>
    </row>
    <row r="115">
      <c r="A115" s="164" t="n"/>
      <c r="B115" s="164" t="n"/>
      <c r="C115" s="164" t="n"/>
      <c r="D115" s="164" t="n"/>
      <c r="E115" s="166" t="n"/>
      <c r="F115" s="166" t="n"/>
      <c r="G115" s="166" t="n"/>
      <c r="H115" s="167">
        <f>E115+F115+G115</f>
        <v/>
      </c>
      <c r="I115" s="168" t="n"/>
      <c r="J115" s="167">
        <f>H115*(1+I115)</f>
        <v/>
      </c>
      <c r="K115" s="169" t="n"/>
      <c r="L115" s="170">
        <f>SUMIFS('HISTORIQUE DOCS'!$H$4:$H$1000,'HISTORIQUE DOCS'!$F$4:$F$1000,A115,'HISTORIQUE DOCS'!$C$4:$C$1000,"FACTURE",'HISTORIQUE DOCS'!$P$4:$P$1000,"VALIDÉ")</f>
        <v/>
      </c>
      <c r="M115" s="170">
        <f>K115-L115</f>
        <v/>
      </c>
      <c r="N115" s="169" t="n"/>
      <c r="O115" s="164" t="n"/>
      <c r="P115" s="164" t="n"/>
    </row>
    <row r="116">
      <c r="A116" s="164" t="n"/>
      <c r="B116" s="164" t="n"/>
      <c r="C116" s="164" t="n"/>
      <c r="D116" s="164" t="n"/>
      <c r="E116" s="166" t="n"/>
      <c r="F116" s="166" t="n"/>
      <c r="G116" s="166" t="n"/>
      <c r="H116" s="167">
        <f>E116+F116+G116</f>
        <v/>
      </c>
      <c r="I116" s="168" t="n"/>
      <c r="J116" s="167">
        <f>H116*(1+I116)</f>
        <v/>
      </c>
      <c r="K116" s="169" t="n"/>
      <c r="L116" s="170">
        <f>SUMIFS('HISTORIQUE DOCS'!$H$4:$H$1000,'HISTORIQUE DOCS'!$F$4:$F$1000,A116,'HISTORIQUE DOCS'!$C$4:$C$1000,"FACTURE",'HISTORIQUE DOCS'!$P$4:$P$1000,"VALIDÉ")</f>
        <v/>
      </c>
      <c r="M116" s="170">
        <f>K116-L116</f>
        <v/>
      </c>
      <c r="N116" s="169" t="n"/>
      <c r="O116" s="164" t="n"/>
      <c r="P116" s="164" t="n"/>
    </row>
    <row r="117">
      <c r="A117" s="164" t="n"/>
      <c r="B117" s="164" t="n"/>
      <c r="C117" s="164" t="n"/>
      <c r="D117" s="164" t="n"/>
      <c r="E117" s="166" t="n"/>
      <c r="F117" s="166" t="n"/>
      <c r="G117" s="166" t="n"/>
      <c r="H117" s="167">
        <f>E117+F117+G117</f>
        <v/>
      </c>
      <c r="I117" s="168" t="n"/>
      <c r="J117" s="167">
        <f>H117*(1+I117)</f>
        <v/>
      </c>
      <c r="K117" s="169" t="n"/>
      <c r="L117" s="170">
        <f>SUMIFS('HISTORIQUE DOCS'!$H$4:$H$1000,'HISTORIQUE DOCS'!$F$4:$F$1000,A117,'HISTORIQUE DOCS'!$C$4:$C$1000,"FACTURE",'HISTORIQUE DOCS'!$P$4:$P$1000,"VALIDÉ")</f>
        <v/>
      </c>
      <c r="M117" s="170">
        <f>K117-L117</f>
        <v/>
      </c>
      <c r="N117" s="169" t="n"/>
      <c r="O117" s="164" t="n"/>
      <c r="P117" s="164" t="n"/>
    </row>
    <row r="118">
      <c r="A118" s="164" t="n"/>
      <c r="B118" s="164" t="n"/>
      <c r="C118" s="164" t="n"/>
      <c r="D118" s="164" t="n"/>
      <c r="E118" s="166" t="n"/>
      <c r="F118" s="166" t="n"/>
      <c r="G118" s="166" t="n"/>
      <c r="H118" s="167">
        <f>E118+F118+G118</f>
        <v/>
      </c>
      <c r="I118" s="168" t="n"/>
      <c r="J118" s="167">
        <f>H118*(1+I118)</f>
        <v/>
      </c>
      <c r="K118" s="169" t="n"/>
      <c r="L118" s="170">
        <f>SUMIFS('HISTORIQUE DOCS'!$H$4:$H$1000,'HISTORIQUE DOCS'!$F$4:$F$1000,A118,'HISTORIQUE DOCS'!$C$4:$C$1000,"FACTURE",'HISTORIQUE DOCS'!$P$4:$P$1000,"VALIDÉ")</f>
        <v/>
      </c>
      <c r="M118" s="170">
        <f>K118-L118</f>
        <v/>
      </c>
      <c r="N118" s="169" t="n"/>
      <c r="O118" s="164" t="n"/>
      <c r="P118" s="164" t="n"/>
    </row>
    <row r="119">
      <c r="A119" s="164" t="n"/>
      <c r="B119" s="164" t="n"/>
      <c r="C119" s="164" t="n"/>
      <c r="D119" s="164" t="n"/>
      <c r="E119" s="166" t="n"/>
      <c r="F119" s="166" t="n"/>
      <c r="G119" s="166" t="n"/>
      <c r="H119" s="167">
        <f>E119+F119+G119</f>
        <v/>
      </c>
      <c r="I119" s="168" t="n"/>
      <c r="J119" s="167">
        <f>H119*(1+I119)</f>
        <v/>
      </c>
      <c r="K119" s="169" t="n"/>
      <c r="L119" s="170">
        <f>SUMIFS('HISTORIQUE DOCS'!$H$4:$H$1000,'HISTORIQUE DOCS'!$F$4:$F$1000,A119,'HISTORIQUE DOCS'!$C$4:$C$1000,"FACTURE",'HISTORIQUE DOCS'!$P$4:$P$1000,"VALIDÉ")</f>
        <v/>
      </c>
      <c r="M119" s="170">
        <f>K119-L119</f>
        <v/>
      </c>
      <c r="N119" s="169" t="n"/>
      <c r="O119" s="164" t="n"/>
      <c r="P119" s="164" t="n"/>
    </row>
    <row r="120">
      <c r="A120" s="164" t="n"/>
      <c r="B120" s="164" t="n"/>
      <c r="C120" s="164" t="n"/>
      <c r="D120" s="164" t="n"/>
      <c r="E120" s="166" t="n"/>
      <c r="F120" s="166" t="n"/>
      <c r="G120" s="166" t="n"/>
      <c r="H120" s="167">
        <f>E120+F120+G120</f>
        <v/>
      </c>
      <c r="I120" s="168" t="n"/>
      <c r="J120" s="167">
        <f>H120*(1+I120)</f>
        <v/>
      </c>
      <c r="K120" s="169" t="n"/>
      <c r="L120" s="170">
        <f>SUMIFS('HISTORIQUE DOCS'!$H$4:$H$1000,'HISTORIQUE DOCS'!$F$4:$F$1000,A120,'HISTORIQUE DOCS'!$C$4:$C$1000,"FACTURE",'HISTORIQUE DOCS'!$P$4:$P$1000,"VALIDÉ")</f>
        <v/>
      </c>
      <c r="M120" s="170">
        <f>K120-L120</f>
        <v/>
      </c>
      <c r="N120" s="169" t="n"/>
      <c r="O120" s="164" t="n"/>
      <c r="P120" s="164" t="n"/>
    </row>
    <row r="121">
      <c r="A121" s="164" t="n"/>
      <c r="B121" s="164" t="n"/>
      <c r="C121" s="164" t="n"/>
      <c r="D121" s="164" t="n"/>
      <c r="E121" s="166" t="n"/>
      <c r="F121" s="166" t="n"/>
      <c r="G121" s="166" t="n"/>
      <c r="H121" s="167">
        <f>E121+F121+G121</f>
        <v/>
      </c>
      <c r="I121" s="168" t="n"/>
      <c r="J121" s="167">
        <f>H121*(1+I121)</f>
        <v/>
      </c>
      <c r="K121" s="169" t="n"/>
      <c r="L121" s="170">
        <f>SUMIFS('HISTORIQUE DOCS'!$H$4:$H$1000,'HISTORIQUE DOCS'!$F$4:$F$1000,A121,'HISTORIQUE DOCS'!$C$4:$C$1000,"FACTURE",'HISTORIQUE DOCS'!$P$4:$P$1000,"VALIDÉ")</f>
        <v/>
      </c>
      <c r="M121" s="170">
        <f>K121-L121</f>
        <v/>
      </c>
      <c r="N121" s="169" t="n"/>
      <c r="O121" s="164" t="n"/>
      <c r="P121" s="164" t="n"/>
    </row>
    <row r="122">
      <c r="A122" s="164" t="n"/>
      <c r="B122" s="164" t="n"/>
      <c r="C122" s="164" t="n"/>
      <c r="D122" s="164" t="n"/>
      <c r="E122" s="166" t="n"/>
      <c r="F122" s="166" t="n"/>
      <c r="G122" s="166" t="n"/>
      <c r="H122" s="167">
        <f>E122+F122+G122</f>
        <v/>
      </c>
      <c r="I122" s="168" t="n"/>
      <c r="J122" s="167">
        <f>H122*(1+I122)</f>
        <v/>
      </c>
      <c r="K122" s="169" t="n"/>
      <c r="L122" s="170">
        <f>SUMIFS('HISTORIQUE DOCS'!$H$4:$H$1000,'HISTORIQUE DOCS'!$F$4:$F$1000,A122,'HISTORIQUE DOCS'!$C$4:$C$1000,"FACTURE",'HISTORIQUE DOCS'!$P$4:$P$1000,"VALIDÉ")</f>
        <v/>
      </c>
      <c r="M122" s="170">
        <f>K122-L122</f>
        <v/>
      </c>
      <c r="N122" s="169" t="n"/>
      <c r="O122" s="164" t="n"/>
      <c r="P122" s="164" t="n"/>
    </row>
    <row r="123">
      <c r="A123" s="164" t="n"/>
      <c r="B123" s="164" t="n"/>
      <c r="C123" s="164" t="n"/>
      <c r="D123" s="164" t="n"/>
      <c r="E123" s="166" t="n"/>
      <c r="F123" s="166" t="n"/>
      <c r="G123" s="166" t="n"/>
      <c r="H123" s="167">
        <f>E123+F123+G123</f>
        <v/>
      </c>
      <c r="I123" s="168" t="n"/>
      <c r="J123" s="167">
        <f>H123*(1+I123)</f>
        <v/>
      </c>
      <c r="K123" s="169" t="n"/>
      <c r="L123" s="170">
        <f>SUMIFS('HISTORIQUE DOCS'!$H$4:$H$1000,'HISTORIQUE DOCS'!$F$4:$F$1000,A123,'HISTORIQUE DOCS'!$C$4:$C$1000,"FACTURE",'HISTORIQUE DOCS'!$P$4:$P$1000,"VALIDÉ")</f>
        <v/>
      </c>
      <c r="M123" s="170">
        <f>K123-L123</f>
        <v/>
      </c>
      <c r="N123" s="169" t="n"/>
      <c r="O123" s="164" t="n"/>
      <c r="P123" s="164" t="n"/>
    </row>
    <row r="124">
      <c r="A124" s="164" t="n"/>
      <c r="B124" s="164" t="n"/>
      <c r="C124" s="164" t="n"/>
      <c r="D124" s="164" t="n"/>
      <c r="E124" s="166" t="n"/>
      <c r="F124" s="166" t="n"/>
      <c r="G124" s="166" t="n"/>
      <c r="H124" s="167">
        <f>E124+F124+G124</f>
        <v/>
      </c>
      <c r="I124" s="168" t="n"/>
      <c r="J124" s="167">
        <f>H124*(1+I124)</f>
        <v/>
      </c>
      <c r="K124" s="169" t="n"/>
      <c r="L124" s="170">
        <f>SUMIFS('HISTORIQUE DOCS'!$H$4:$H$1000,'HISTORIQUE DOCS'!$F$4:$F$1000,A124,'HISTORIQUE DOCS'!$C$4:$C$1000,"FACTURE",'HISTORIQUE DOCS'!$P$4:$P$1000,"VALIDÉ")</f>
        <v/>
      </c>
      <c r="M124" s="170">
        <f>K124-L124</f>
        <v/>
      </c>
      <c r="N124" s="169" t="n"/>
      <c r="O124" s="164" t="n"/>
      <c r="P124" s="164" t="n"/>
    </row>
    <row r="125">
      <c r="A125" s="164" t="n"/>
      <c r="B125" s="164" t="n"/>
      <c r="C125" s="164" t="n"/>
      <c r="D125" s="164" t="n"/>
      <c r="E125" s="166" t="n"/>
      <c r="F125" s="166" t="n"/>
      <c r="G125" s="166" t="n"/>
      <c r="H125" s="167">
        <f>E125+F125+G125</f>
        <v/>
      </c>
      <c r="I125" s="168" t="n"/>
      <c r="J125" s="167">
        <f>H125*(1+I125)</f>
        <v/>
      </c>
      <c r="K125" s="169" t="n"/>
      <c r="L125" s="170">
        <f>SUMIFS('HISTORIQUE DOCS'!$H$4:$H$1000,'HISTORIQUE DOCS'!$F$4:$F$1000,A125,'HISTORIQUE DOCS'!$C$4:$C$1000,"FACTURE",'HISTORIQUE DOCS'!$P$4:$P$1000,"VALIDÉ")</f>
        <v/>
      </c>
      <c r="M125" s="170">
        <f>K125-L125</f>
        <v/>
      </c>
      <c r="N125" s="169" t="n"/>
      <c r="O125" s="164" t="n"/>
      <c r="P125" s="164" t="n"/>
    </row>
    <row r="126">
      <c r="A126" s="164" t="n"/>
      <c r="B126" s="164" t="n"/>
      <c r="C126" s="164" t="n"/>
      <c r="D126" s="164" t="n"/>
      <c r="E126" s="166" t="n"/>
      <c r="F126" s="166" t="n"/>
      <c r="G126" s="166" t="n"/>
      <c r="H126" s="167">
        <f>E126+F126+G126</f>
        <v/>
      </c>
      <c r="I126" s="168" t="n"/>
      <c r="J126" s="167">
        <f>H126*(1+I126)</f>
        <v/>
      </c>
      <c r="K126" s="169" t="n"/>
      <c r="L126" s="170">
        <f>SUMIFS('HISTORIQUE DOCS'!$H$4:$H$1000,'HISTORIQUE DOCS'!$F$4:$F$1000,A126,'HISTORIQUE DOCS'!$C$4:$C$1000,"FACTURE",'HISTORIQUE DOCS'!$P$4:$P$1000,"VALIDÉ")</f>
        <v/>
      </c>
      <c r="M126" s="170">
        <f>K126-L126</f>
        <v/>
      </c>
      <c r="N126" s="169" t="n"/>
      <c r="O126" s="164" t="n"/>
      <c r="P126" s="164" t="n"/>
    </row>
    <row r="127">
      <c r="A127" s="164" t="n"/>
      <c r="B127" s="164" t="n"/>
      <c r="C127" s="164" t="n"/>
      <c r="D127" s="164" t="n"/>
      <c r="E127" s="166" t="n"/>
      <c r="F127" s="166" t="n"/>
      <c r="G127" s="166" t="n"/>
      <c r="H127" s="167">
        <f>E127+F127+G127</f>
        <v/>
      </c>
      <c r="I127" s="168" t="n"/>
      <c r="J127" s="167">
        <f>H127*(1+I127)</f>
        <v/>
      </c>
      <c r="K127" s="169" t="n"/>
      <c r="L127" s="170">
        <f>SUMIFS('HISTORIQUE DOCS'!$H$4:$H$1000,'HISTORIQUE DOCS'!$F$4:$F$1000,A127,'HISTORIQUE DOCS'!$C$4:$C$1000,"FACTURE",'HISTORIQUE DOCS'!$P$4:$P$1000,"VALIDÉ")</f>
        <v/>
      </c>
      <c r="M127" s="170">
        <f>K127-L127</f>
        <v/>
      </c>
      <c r="N127" s="169" t="n"/>
      <c r="O127" s="164" t="n"/>
      <c r="P127" s="164" t="n"/>
    </row>
    <row r="128">
      <c r="A128" s="164" t="n"/>
      <c r="B128" s="164" t="n"/>
      <c r="C128" s="164" t="n"/>
      <c r="D128" s="164" t="n"/>
      <c r="E128" s="166" t="n"/>
      <c r="F128" s="166" t="n"/>
      <c r="G128" s="166" t="n"/>
      <c r="H128" s="167">
        <f>E128+F128+G128</f>
        <v/>
      </c>
      <c r="I128" s="168" t="n"/>
      <c r="J128" s="167">
        <f>H128*(1+I128)</f>
        <v/>
      </c>
      <c r="K128" s="169" t="n"/>
      <c r="L128" s="170">
        <f>SUMIFS('HISTORIQUE DOCS'!$H$4:$H$1000,'HISTORIQUE DOCS'!$F$4:$F$1000,A128,'HISTORIQUE DOCS'!$C$4:$C$1000,"FACTURE",'HISTORIQUE DOCS'!$P$4:$P$1000,"VALIDÉ")</f>
        <v/>
      </c>
      <c r="M128" s="170">
        <f>K128-L128</f>
        <v/>
      </c>
      <c r="N128" s="169" t="n"/>
      <c r="O128" s="164" t="n"/>
      <c r="P128" s="164" t="n"/>
    </row>
    <row r="129">
      <c r="A129" s="164" t="n"/>
      <c r="B129" s="164" t="n"/>
      <c r="C129" s="164" t="n"/>
      <c r="D129" s="164" t="n"/>
      <c r="E129" s="166" t="n"/>
      <c r="F129" s="166" t="n"/>
      <c r="G129" s="166" t="n"/>
      <c r="H129" s="167">
        <f>E129+F129+G129</f>
        <v/>
      </c>
      <c r="I129" s="168" t="n"/>
      <c r="J129" s="167">
        <f>H129*(1+I129)</f>
        <v/>
      </c>
      <c r="K129" s="169" t="n"/>
      <c r="L129" s="170">
        <f>SUMIFS('HISTORIQUE DOCS'!$H$4:$H$1000,'HISTORIQUE DOCS'!$F$4:$F$1000,A129,'HISTORIQUE DOCS'!$C$4:$C$1000,"FACTURE",'HISTORIQUE DOCS'!$P$4:$P$1000,"VALIDÉ")</f>
        <v/>
      </c>
      <c r="M129" s="170">
        <f>K129-L129</f>
        <v/>
      </c>
      <c r="N129" s="169" t="n"/>
      <c r="O129" s="164" t="n"/>
      <c r="P129" s="164" t="n"/>
    </row>
    <row r="130">
      <c r="A130" s="164" t="n"/>
      <c r="B130" s="164" t="n"/>
      <c r="C130" s="164" t="n"/>
      <c r="D130" s="164" t="n"/>
      <c r="E130" s="166" t="n"/>
      <c r="F130" s="166" t="n"/>
      <c r="G130" s="166" t="n"/>
      <c r="H130" s="167">
        <f>E130+F130+G130</f>
        <v/>
      </c>
      <c r="I130" s="168" t="n"/>
      <c r="J130" s="167">
        <f>H130*(1+I130)</f>
        <v/>
      </c>
      <c r="K130" s="169" t="n"/>
      <c r="L130" s="170">
        <f>SUMIFS('HISTORIQUE DOCS'!$H$4:$H$1000,'HISTORIQUE DOCS'!$F$4:$F$1000,A130,'HISTORIQUE DOCS'!$C$4:$C$1000,"FACTURE",'HISTORIQUE DOCS'!$P$4:$P$1000,"VALIDÉ")</f>
        <v/>
      </c>
      <c r="M130" s="170">
        <f>K130-L130</f>
        <v/>
      </c>
      <c r="N130" s="169" t="n"/>
      <c r="O130" s="164" t="n"/>
      <c r="P130" s="164" t="n"/>
    </row>
    <row r="131">
      <c r="A131" s="164" t="n"/>
      <c r="B131" s="164" t="n"/>
      <c r="C131" s="164" t="n"/>
      <c r="D131" s="164" t="n"/>
      <c r="E131" s="166" t="n"/>
      <c r="F131" s="166" t="n"/>
      <c r="G131" s="166" t="n"/>
      <c r="H131" s="167">
        <f>E131+F131+G131</f>
        <v/>
      </c>
      <c r="I131" s="168" t="n"/>
      <c r="J131" s="167">
        <f>H131*(1+I131)</f>
        <v/>
      </c>
      <c r="K131" s="169" t="n"/>
      <c r="L131" s="170">
        <f>SUMIFS('HISTORIQUE DOCS'!$H$4:$H$1000,'HISTORIQUE DOCS'!$F$4:$F$1000,A131,'HISTORIQUE DOCS'!$C$4:$C$1000,"FACTURE",'HISTORIQUE DOCS'!$P$4:$P$1000,"VALIDÉ")</f>
        <v/>
      </c>
      <c r="M131" s="170">
        <f>K131-L131</f>
        <v/>
      </c>
      <c r="N131" s="169" t="n"/>
      <c r="O131" s="164" t="n"/>
      <c r="P131" s="164" t="n"/>
    </row>
    <row r="132">
      <c r="A132" s="164" t="n"/>
      <c r="B132" s="164" t="n"/>
      <c r="C132" s="164" t="n"/>
      <c r="D132" s="164" t="n"/>
      <c r="E132" s="166" t="n"/>
      <c r="F132" s="166" t="n"/>
      <c r="G132" s="166" t="n"/>
      <c r="H132" s="167">
        <f>E132+F132+G132</f>
        <v/>
      </c>
      <c r="I132" s="168" t="n"/>
      <c r="J132" s="167">
        <f>H132*(1+I132)</f>
        <v/>
      </c>
      <c r="K132" s="169" t="n"/>
      <c r="L132" s="170">
        <f>SUMIFS('HISTORIQUE DOCS'!$H$4:$H$1000,'HISTORIQUE DOCS'!$F$4:$F$1000,A132,'HISTORIQUE DOCS'!$C$4:$C$1000,"FACTURE",'HISTORIQUE DOCS'!$P$4:$P$1000,"VALIDÉ")</f>
        <v/>
      </c>
      <c r="M132" s="170">
        <f>K132-L132</f>
        <v/>
      </c>
      <c r="N132" s="169" t="n"/>
      <c r="O132" s="164" t="n"/>
      <c r="P132" s="164" t="n"/>
    </row>
    <row r="133">
      <c r="A133" s="164" t="n"/>
      <c r="B133" s="164" t="n"/>
      <c r="C133" s="164" t="n"/>
      <c r="D133" s="164" t="n"/>
      <c r="E133" s="166" t="n"/>
      <c r="F133" s="166" t="n"/>
      <c r="G133" s="166" t="n"/>
      <c r="H133" s="167">
        <f>E133+F133+G133</f>
        <v/>
      </c>
      <c r="I133" s="168" t="n"/>
      <c r="J133" s="167">
        <f>H133*(1+I133)</f>
        <v/>
      </c>
      <c r="K133" s="169" t="n"/>
      <c r="L133" s="170">
        <f>SUMIFS('HISTORIQUE DOCS'!$H$4:$H$1000,'HISTORIQUE DOCS'!$F$4:$F$1000,A133,'HISTORIQUE DOCS'!$C$4:$C$1000,"FACTURE",'HISTORIQUE DOCS'!$P$4:$P$1000,"VALIDÉ")</f>
        <v/>
      </c>
      <c r="M133" s="170">
        <f>K133-L133</f>
        <v/>
      </c>
      <c r="N133" s="169" t="n"/>
      <c r="O133" s="164" t="n"/>
      <c r="P133" s="164" t="n"/>
    </row>
    <row r="134">
      <c r="A134" s="164" t="n"/>
      <c r="B134" s="164" t="n"/>
      <c r="C134" s="164" t="n"/>
      <c r="D134" s="164" t="n"/>
      <c r="E134" s="166" t="n"/>
      <c r="F134" s="166" t="n"/>
      <c r="G134" s="166" t="n"/>
      <c r="H134" s="167">
        <f>E134+F134+G134</f>
        <v/>
      </c>
      <c r="I134" s="168" t="n"/>
      <c r="J134" s="167">
        <f>H134*(1+I134)</f>
        <v/>
      </c>
      <c r="K134" s="169" t="n"/>
      <c r="L134" s="170">
        <f>SUMIFS('HISTORIQUE DOCS'!$H$4:$H$1000,'HISTORIQUE DOCS'!$F$4:$F$1000,A134,'HISTORIQUE DOCS'!$C$4:$C$1000,"FACTURE",'HISTORIQUE DOCS'!$P$4:$P$1000,"VALIDÉ")</f>
        <v/>
      </c>
      <c r="M134" s="170">
        <f>K134-L134</f>
        <v/>
      </c>
      <c r="N134" s="169" t="n"/>
      <c r="O134" s="164" t="n"/>
      <c r="P134" s="164" t="n"/>
    </row>
    <row r="135">
      <c r="A135" s="164" t="n"/>
      <c r="B135" s="164" t="n"/>
      <c r="C135" s="164" t="n"/>
      <c r="D135" s="164" t="n"/>
      <c r="E135" s="166" t="n"/>
      <c r="F135" s="166" t="n"/>
      <c r="G135" s="166" t="n"/>
      <c r="H135" s="167">
        <f>E135+F135+G135</f>
        <v/>
      </c>
      <c r="I135" s="168" t="n"/>
      <c r="J135" s="167">
        <f>H135*(1+I135)</f>
        <v/>
      </c>
      <c r="K135" s="169" t="n"/>
      <c r="L135" s="170">
        <f>SUMIFS('HISTORIQUE DOCS'!$H$4:$H$1000,'HISTORIQUE DOCS'!$F$4:$F$1000,A135,'HISTORIQUE DOCS'!$C$4:$C$1000,"FACTURE",'HISTORIQUE DOCS'!$P$4:$P$1000,"VALIDÉ")</f>
        <v/>
      </c>
      <c r="M135" s="170">
        <f>K135-L135</f>
        <v/>
      </c>
      <c r="N135" s="169" t="n"/>
      <c r="O135" s="164" t="n"/>
      <c r="P135" s="164" t="n"/>
    </row>
    <row r="136">
      <c r="A136" s="164" t="n"/>
      <c r="B136" s="164" t="n"/>
      <c r="C136" s="164" t="n"/>
      <c r="D136" s="164" t="n"/>
      <c r="E136" s="166" t="n"/>
      <c r="F136" s="166" t="n"/>
      <c r="G136" s="166" t="n"/>
      <c r="H136" s="167">
        <f>E136+F136+G136</f>
        <v/>
      </c>
      <c r="I136" s="168" t="n"/>
      <c r="J136" s="167">
        <f>H136*(1+I136)</f>
        <v/>
      </c>
      <c r="K136" s="169" t="n"/>
      <c r="L136" s="170">
        <f>SUMIFS('HISTORIQUE DOCS'!$H$4:$H$1000,'HISTORIQUE DOCS'!$F$4:$F$1000,A136,'HISTORIQUE DOCS'!$C$4:$C$1000,"FACTURE",'HISTORIQUE DOCS'!$P$4:$P$1000,"VALIDÉ")</f>
        <v/>
      </c>
      <c r="M136" s="170">
        <f>K136-L136</f>
        <v/>
      </c>
      <c r="N136" s="169" t="n"/>
      <c r="O136" s="164" t="n"/>
      <c r="P136" s="164" t="n"/>
    </row>
    <row r="137">
      <c r="A137" s="164" t="n"/>
      <c r="B137" s="164" t="n"/>
      <c r="C137" s="164" t="n"/>
      <c r="D137" s="164" t="n"/>
      <c r="E137" s="166" t="n"/>
      <c r="F137" s="166" t="n"/>
      <c r="G137" s="166" t="n"/>
      <c r="H137" s="167">
        <f>E137+F137+G137</f>
        <v/>
      </c>
      <c r="I137" s="168" t="n"/>
      <c r="J137" s="167">
        <f>H137*(1+I137)</f>
        <v/>
      </c>
      <c r="K137" s="169" t="n"/>
      <c r="L137" s="170">
        <f>SUMIFS('HISTORIQUE DOCS'!$H$4:$H$1000,'HISTORIQUE DOCS'!$F$4:$F$1000,A137,'HISTORIQUE DOCS'!$C$4:$C$1000,"FACTURE",'HISTORIQUE DOCS'!$P$4:$P$1000,"VALIDÉ")</f>
        <v/>
      </c>
      <c r="M137" s="170">
        <f>K137-L137</f>
        <v/>
      </c>
      <c r="N137" s="169" t="n"/>
      <c r="O137" s="164" t="n"/>
      <c r="P137" s="164" t="n"/>
    </row>
    <row r="138">
      <c r="A138" s="164" t="n"/>
      <c r="B138" s="164" t="n"/>
      <c r="C138" s="164" t="n"/>
      <c r="D138" s="164" t="n"/>
      <c r="E138" s="166" t="n"/>
      <c r="F138" s="166" t="n"/>
      <c r="G138" s="166" t="n"/>
      <c r="H138" s="167">
        <f>E138+F138+G138</f>
        <v/>
      </c>
      <c r="I138" s="168" t="n"/>
      <c r="J138" s="167">
        <f>H138*(1+I138)</f>
        <v/>
      </c>
      <c r="K138" s="169" t="n"/>
      <c r="L138" s="170">
        <f>SUMIFS('HISTORIQUE DOCS'!$H$4:$H$1000,'HISTORIQUE DOCS'!$F$4:$F$1000,A138,'HISTORIQUE DOCS'!$C$4:$C$1000,"FACTURE",'HISTORIQUE DOCS'!$P$4:$P$1000,"VALIDÉ")</f>
        <v/>
      </c>
      <c r="M138" s="170">
        <f>K138-L138</f>
        <v/>
      </c>
      <c r="N138" s="169" t="n"/>
      <c r="O138" s="164" t="n"/>
      <c r="P138" s="164" t="n"/>
    </row>
    <row r="139">
      <c r="A139" s="164" t="n"/>
      <c r="B139" s="164" t="n"/>
      <c r="C139" s="164" t="n"/>
      <c r="D139" s="164" t="n"/>
      <c r="E139" s="166" t="n"/>
      <c r="F139" s="166" t="n"/>
      <c r="G139" s="166" t="n"/>
      <c r="H139" s="167">
        <f>E139+F139+G139</f>
        <v/>
      </c>
      <c r="I139" s="168" t="n"/>
      <c r="J139" s="167">
        <f>H139*(1+I139)</f>
        <v/>
      </c>
      <c r="K139" s="169" t="n"/>
      <c r="L139" s="170">
        <f>SUMIFS('HISTORIQUE DOCS'!$H$4:$H$1000,'HISTORIQUE DOCS'!$F$4:$F$1000,A139,'HISTORIQUE DOCS'!$C$4:$C$1000,"FACTURE",'HISTORIQUE DOCS'!$P$4:$P$1000,"VALIDÉ")</f>
        <v/>
      </c>
      <c r="M139" s="170">
        <f>K139-L139</f>
        <v/>
      </c>
      <c r="N139" s="169" t="n"/>
      <c r="O139" s="164" t="n"/>
      <c r="P139" s="164" t="n"/>
    </row>
    <row r="140">
      <c r="A140" s="164" t="n"/>
      <c r="B140" s="164" t="n"/>
      <c r="C140" s="164" t="n"/>
      <c r="D140" s="164" t="n"/>
      <c r="E140" s="166" t="n"/>
      <c r="F140" s="166" t="n"/>
      <c r="G140" s="166" t="n"/>
      <c r="H140" s="167">
        <f>E140+F140+G140</f>
        <v/>
      </c>
      <c r="I140" s="168" t="n"/>
      <c r="J140" s="167">
        <f>H140*(1+I140)</f>
        <v/>
      </c>
      <c r="K140" s="169" t="n"/>
      <c r="L140" s="170">
        <f>SUMIFS('HISTORIQUE DOCS'!$H$4:$H$1000,'HISTORIQUE DOCS'!$F$4:$F$1000,A140,'HISTORIQUE DOCS'!$C$4:$C$1000,"FACTURE",'HISTORIQUE DOCS'!$P$4:$P$1000,"VALIDÉ")</f>
        <v/>
      </c>
      <c r="M140" s="170">
        <f>K140-L140</f>
        <v/>
      </c>
      <c r="N140" s="169" t="n"/>
      <c r="O140" s="164" t="n"/>
      <c r="P140" s="164" t="n"/>
    </row>
    <row r="141">
      <c r="A141" s="164" t="n"/>
      <c r="B141" s="164" t="n"/>
      <c r="C141" s="164" t="n"/>
      <c r="D141" s="164" t="n"/>
      <c r="E141" s="166" t="n"/>
      <c r="F141" s="166" t="n"/>
      <c r="G141" s="166" t="n"/>
      <c r="H141" s="167">
        <f>E141+F141+G141</f>
        <v/>
      </c>
      <c r="I141" s="168" t="n"/>
      <c r="J141" s="167">
        <f>H141*(1+I141)</f>
        <v/>
      </c>
      <c r="K141" s="169" t="n"/>
      <c r="L141" s="170">
        <f>SUMIFS('HISTORIQUE DOCS'!$H$4:$H$1000,'HISTORIQUE DOCS'!$F$4:$F$1000,A141,'HISTORIQUE DOCS'!$C$4:$C$1000,"FACTURE",'HISTORIQUE DOCS'!$P$4:$P$1000,"VALIDÉ")</f>
        <v/>
      </c>
      <c r="M141" s="170">
        <f>K141-L141</f>
        <v/>
      </c>
      <c r="N141" s="169" t="n"/>
      <c r="O141" s="164" t="n"/>
      <c r="P141" s="164" t="n"/>
    </row>
    <row r="142">
      <c r="A142" s="164" t="n"/>
      <c r="B142" s="164" t="n"/>
      <c r="C142" s="164" t="n"/>
      <c r="D142" s="164" t="n"/>
      <c r="E142" s="166" t="n"/>
      <c r="F142" s="166" t="n"/>
      <c r="G142" s="166" t="n"/>
      <c r="H142" s="167">
        <f>E142+F142+G142</f>
        <v/>
      </c>
      <c r="I142" s="168" t="n"/>
      <c r="J142" s="167">
        <f>H142*(1+I142)</f>
        <v/>
      </c>
      <c r="K142" s="169" t="n"/>
      <c r="L142" s="170">
        <f>SUMIFS('HISTORIQUE DOCS'!$H$4:$H$1000,'HISTORIQUE DOCS'!$F$4:$F$1000,A142,'HISTORIQUE DOCS'!$C$4:$C$1000,"FACTURE",'HISTORIQUE DOCS'!$P$4:$P$1000,"VALIDÉ")</f>
        <v/>
      </c>
      <c r="M142" s="170">
        <f>K142-L142</f>
        <v/>
      </c>
      <c r="N142" s="169" t="n"/>
      <c r="O142" s="164" t="n"/>
      <c r="P142" s="164" t="n"/>
    </row>
    <row r="143">
      <c r="A143" s="164" t="n"/>
      <c r="B143" s="164" t="n"/>
      <c r="C143" s="164" t="n"/>
      <c r="D143" s="164" t="n"/>
      <c r="E143" s="166" t="n"/>
      <c r="F143" s="166" t="n"/>
      <c r="G143" s="166" t="n"/>
      <c r="H143" s="167">
        <f>E143+F143+G143</f>
        <v/>
      </c>
      <c r="I143" s="168" t="n"/>
      <c r="J143" s="167">
        <f>H143*(1+I143)</f>
        <v/>
      </c>
      <c r="K143" s="169" t="n"/>
      <c r="L143" s="170">
        <f>SUMIFS('HISTORIQUE DOCS'!$H$4:$H$1000,'HISTORIQUE DOCS'!$F$4:$F$1000,A143,'HISTORIQUE DOCS'!$C$4:$C$1000,"FACTURE",'HISTORIQUE DOCS'!$P$4:$P$1000,"VALIDÉ")</f>
        <v/>
      </c>
      <c r="M143" s="170">
        <f>K143-L143</f>
        <v/>
      </c>
      <c r="N143" s="169" t="n"/>
      <c r="O143" s="164" t="n"/>
      <c r="P143" s="164" t="n"/>
    </row>
    <row r="144">
      <c r="A144" s="164" t="n"/>
      <c r="B144" s="164" t="n"/>
      <c r="C144" s="164" t="n"/>
      <c r="D144" s="164" t="n"/>
      <c r="E144" s="166" t="n"/>
      <c r="F144" s="166" t="n"/>
      <c r="G144" s="166" t="n"/>
      <c r="H144" s="167">
        <f>E144+F144+G144</f>
        <v/>
      </c>
      <c r="I144" s="168" t="n"/>
      <c r="J144" s="167">
        <f>H144*(1+I144)</f>
        <v/>
      </c>
      <c r="K144" s="169" t="n"/>
      <c r="L144" s="170">
        <f>SUMIFS('HISTORIQUE DOCS'!$H$4:$H$1000,'HISTORIQUE DOCS'!$F$4:$F$1000,A144,'HISTORIQUE DOCS'!$C$4:$C$1000,"FACTURE",'HISTORIQUE DOCS'!$P$4:$P$1000,"VALIDÉ")</f>
        <v/>
      </c>
      <c r="M144" s="170">
        <f>K144-L144</f>
        <v/>
      </c>
      <c r="N144" s="169" t="n"/>
      <c r="O144" s="164" t="n"/>
      <c r="P144" s="164" t="n"/>
    </row>
    <row r="145">
      <c r="A145" s="164" t="n"/>
      <c r="B145" s="164" t="n"/>
      <c r="C145" s="164" t="n"/>
      <c r="D145" s="164" t="n"/>
      <c r="E145" s="166" t="n"/>
      <c r="F145" s="166" t="n"/>
      <c r="G145" s="166" t="n"/>
      <c r="H145" s="167">
        <f>E145+F145+G145</f>
        <v/>
      </c>
      <c r="I145" s="168" t="n"/>
      <c r="J145" s="167">
        <f>H145*(1+I145)</f>
        <v/>
      </c>
      <c r="K145" s="169" t="n"/>
      <c r="L145" s="170">
        <f>SUMIFS('HISTORIQUE DOCS'!$H$4:$H$1000,'HISTORIQUE DOCS'!$F$4:$F$1000,A145,'HISTORIQUE DOCS'!$C$4:$C$1000,"FACTURE",'HISTORIQUE DOCS'!$P$4:$P$1000,"VALIDÉ")</f>
        <v/>
      </c>
      <c r="M145" s="170">
        <f>K145-L145</f>
        <v/>
      </c>
      <c r="N145" s="169" t="n"/>
      <c r="O145" s="164" t="n"/>
      <c r="P145" s="164" t="n"/>
    </row>
    <row r="146">
      <c r="A146" s="164" t="n"/>
      <c r="B146" s="164" t="n"/>
      <c r="C146" s="164" t="n"/>
      <c r="D146" s="164" t="n"/>
      <c r="E146" s="166" t="n"/>
      <c r="F146" s="166" t="n"/>
      <c r="G146" s="166" t="n"/>
      <c r="H146" s="167">
        <f>E146+F146+G146</f>
        <v/>
      </c>
      <c r="I146" s="168" t="n"/>
      <c r="J146" s="167">
        <f>H146*(1+I146)</f>
        <v/>
      </c>
      <c r="K146" s="169" t="n"/>
      <c r="L146" s="170">
        <f>SUMIFS('HISTORIQUE DOCS'!$H$4:$H$1000,'HISTORIQUE DOCS'!$F$4:$F$1000,A146,'HISTORIQUE DOCS'!$C$4:$C$1000,"FACTURE",'HISTORIQUE DOCS'!$P$4:$P$1000,"VALIDÉ")</f>
        <v/>
      </c>
      <c r="M146" s="170">
        <f>K146-L146</f>
        <v/>
      </c>
      <c r="N146" s="169" t="n"/>
      <c r="O146" s="164" t="n"/>
      <c r="P146" s="164" t="n"/>
    </row>
    <row r="147">
      <c r="A147" s="164" t="n"/>
      <c r="B147" s="164" t="n"/>
      <c r="C147" s="164" t="n"/>
      <c r="D147" s="164" t="n"/>
      <c r="E147" s="166" t="n"/>
      <c r="F147" s="166" t="n"/>
      <c r="G147" s="166" t="n"/>
      <c r="H147" s="167">
        <f>E147+F147+G147</f>
        <v/>
      </c>
      <c r="I147" s="168" t="n"/>
      <c r="J147" s="167">
        <f>H147*(1+I147)</f>
        <v/>
      </c>
      <c r="K147" s="169" t="n"/>
      <c r="L147" s="170">
        <f>SUMIFS('HISTORIQUE DOCS'!$H$4:$H$1000,'HISTORIQUE DOCS'!$F$4:$F$1000,A147,'HISTORIQUE DOCS'!$C$4:$C$1000,"FACTURE",'HISTORIQUE DOCS'!$P$4:$P$1000,"VALIDÉ")</f>
        <v/>
      </c>
      <c r="M147" s="170">
        <f>K147-L147</f>
        <v/>
      </c>
      <c r="N147" s="169" t="n"/>
      <c r="O147" s="164" t="n"/>
      <c r="P147" s="164" t="n"/>
    </row>
    <row r="148">
      <c r="A148" s="164" t="n"/>
      <c r="B148" s="164" t="n"/>
      <c r="C148" s="164" t="n"/>
      <c r="D148" s="164" t="n"/>
      <c r="E148" s="166" t="n"/>
      <c r="F148" s="166" t="n"/>
      <c r="G148" s="166" t="n"/>
      <c r="H148" s="167">
        <f>E148+F148+G148</f>
        <v/>
      </c>
      <c r="I148" s="168" t="n"/>
      <c r="J148" s="167">
        <f>H148*(1+I148)</f>
        <v/>
      </c>
      <c r="K148" s="169" t="n"/>
      <c r="L148" s="170">
        <f>SUMIFS('HISTORIQUE DOCS'!$H$4:$H$1000,'HISTORIQUE DOCS'!$F$4:$F$1000,A148,'HISTORIQUE DOCS'!$C$4:$C$1000,"FACTURE",'HISTORIQUE DOCS'!$P$4:$P$1000,"VALIDÉ")</f>
        <v/>
      </c>
      <c r="M148" s="170">
        <f>K148-L148</f>
        <v/>
      </c>
      <c r="N148" s="169" t="n"/>
      <c r="O148" s="164" t="n"/>
      <c r="P148" s="164" t="n"/>
    </row>
    <row r="149">
      <c r="A149" s="164" t="n"/>
      <c r="B149" s="164" t="n"/>
      <c r="C149" s="164" t="n"/>
      <c r="D149" s="164" t="n"/>
      <c r="E149" s="166" t="n"/>
      <c r="F149" s="166" t="n"/>
      <c r="G149" s="166" t="n"/>
      <c r="H149" s="167">
        <f>E149+F149+G149</f>
        <v/>
      </c>
      <c r="I149" s="168" t="n"/>
      <c r="J149" s="167">
        <f>H149*(1+I149)</f>
        <v/>
      </c>
      <c r="K149" s="169" t="n"/>
      <c r="L149" s="170">
        <f>SUMIFS('HISTORIQUE DOCS'!$H$4:$H$1000,'HISTORIQUE DOCS'!$F$4:$F$1000,A149,'HISTORIQUE DOCS'!$C$4:$C$1000,"FACTURE",'HISTORIQUE DOCS'!$P$4:$P$1000,"VALIDÉ")</f>
        <v/>
      </c>
      <c r="M149" s="170">
        <f>K149-L149</f>
        <v/>
      </c>
      <c r="N149" s="169" t="n"/>
      <c r="O149" s="164" t="n"/>
      <c r="P149" s="164" t="n"/>
    </row>
    <row r="150">
      <c r="A150" s="164" t="n"/>
      <c r="B150" s="164" t="n"/>
      <c r="C150" s="164" t="n"/>
      <c r="D150" s="164" t="n"/>
      <c r="E150" s="166" t="n"/>
      <c r="F150" s="166" t="n"/>
      <c r="G150" s="166" t="n"/>
      <c r="H150" s="167">
        <f>E150+F150+G150</f>
        <v/>
      </c>
      <c r="I150" s="168" t="n"/>
      <c r="J150" s="167">
        <f>H150*(1+I150)</f>
        <v/>
      </c>
      <c r="K150" s="169" t="n"/>
      <c r="L150" s="170">
        <f>SUMIFS('HISTORIQUE DOCS'!$H$4:$H$1000,'HISTORIQUE DOCS'!$F$4:$F$1000,A150,'HISTORIQUE DOCS'!$C$4:$C$1000,"FACTURE",'HISTORIQUE DOCS'!$P$4:$P$1000,"VALIDÉ")</f>
        <v/>
      </c>
      <c r="M150" s="170">
        <f>K150-L150</f>
        <v/>
      </c>
      <c r="N150" s="169" t="n"/>
      <c r="O150" s="164" t="n"/>
      <c r="P150" s="164" t="n"/>
    </row>
    <row r="151">
      <c r="A151" s="164" t="n"/>
      <c r="B151" s="164" t="n"/>
      <c r="C151" s="164" t="n"/>
      <c r="D151" s="164" t="n"/>
      <c r="E151" s="166" t="n"/>
      <c r="F151" s="166" t="n"/>
      <c r="G151" s="166" t="n"/>
      <c r="H151" s="167">
        <f>E151+F151+G151</f>
        <v/>
      </c>
      <c r="I151" s="168" t="n"/>
      <c r="J151" s="167">
        <f>H151*(1+I151)</f>
        <v/>
      </c>
      <c r="K151" s="169" t="n"/>
      <c r="L151" s="170">
        <f>SUMIFS('HISTORIQUE DOCS'!$H$4:$H$1000,'HISTORIQUE DOCS'!$F$4:$F$1000,A151,'HISTORIQUE DOCS'!$C$4:$C$1000,"FACTURE",'HISTORIQUE DOCS'!$P$4:$P$1000,"VALIDÉ")</f>
        <v/>
      </c>
      <c r="M151" s="170">
        <f>K151-L151</f>
        <v/>
      </c>
      <c r="N151" s="169" t="n"/>
      <c r="O151" s="164" t="n"/>
      <c r="P151" s="164" t="n"/>
    </row>
    <row r="152">
      <c r="A152" s="164" t="n"/>
      <c r="B152" s="164" t="n"/>
      <c r="C152" s="164" t="n"/>
      <c r="D152" s="164" t="n"/>
      <c r="E152" s="166" t="n"/>
      <c r="F152" s="166" t="n"/>
      <c r="G152" s="166" t="n"/>
      <c r="H152" s="167">
        <f>E152+F152+G152</f>
        <v/>
      </c>
      <c r="I152" s="168" t="n"/>
      <c r="J152" s="167">
        <f>H152*(1+I152)</f>
        <v/>
      </c>
      <c r="K152" s="169" t="n"/>
      <c r="L152" s="170">
        <f>SUMIFS('HISTORIQUE DOCS'!$H$4:$H$1000,'HISTORIQUE DOCS'!$F$4:$F$1000,A152,'HISTORIQUE DOCS'!$C$4:$C$1000,"FACTURE",'HISTORIQUE DOCS'!$P$4:$P$1000,"VALIDÉ")</f>
        <v/>
      </c>
      <c r="M152" s="170">
        <f>K152-L152</f>
        <v/>
      </c>
      <c r="N152" s="169" t="n"/>
      <c r="O152" s="164" t="n"/>
      <c r="P152" s="164" t="n"/>
    </row>
    <row r="153">
      <c r="A153" s="164" t="n"/>
      <c r="B153" s="164" t="n"/>
      <c r="C153" s="164" t="n"/>
      <c r="D153" s="164" t="n"/>
      <c r="E153" s="166" t="n"/>
      <c r="F153" s="166" t="n"/>
      <c r="G153" s="166" t="n"/>
      <c r="H153" s="167">
        <f>E153+F153+G153</f>
        <v/>
      </c>
      <c r="I153" s="168" t="n"/>
      <c r="J153" s="167">
        <f>H153*(1+I153)</f>
        <v/>
      </c>
      <c r="K153" s="169" t="n"/>
      <c r="L153" s="170">
        <f>SUMIFS('HISTORIQUE DOCS'!$H$4:$H$1000,'HISTORIQUE DOCS'!$F$4:$F$1000,A153,'HISTORIQUE DOCS'!$C$4:$C$1000,"FACTURE",'HISTORIQUE DOCS'!$P$4:$P$1000,"VALIDÉ")</f>
        <v/>
      </c>
      <c r="M153" s="170">
        <f>K153-L153</f>
        <v/>
      </c>
      <c r="N153" s="169" t="n"/>
      <c r="O153" s="164" t="n"/>
      <c r="P153" s="164" t="n"/>
    </row>
    <row r="154">
      <c r="A154" s="164" t="n"/>
      <c r="B154" s="164" t="n"/>
      <c r="C154" s="164" t="n"/>
      <c r="D154" s="164" t="n"/>
      <c r="E154" s="166" t="n"/>
      <c r="F154" s="166" t="n"/>
      <c r="G154" s="166" t="n"/>
      <c r="H154" s="167">
        <f>E154+F154+G154</f>
        <v/>
      </c>
      <c r="I154" s="168" t="n"/>
      <c r="J154" s="167">
        <f>H154*(1+I154)</f>
        <v/>
      </c>
      <c r="K154" s="169" t="n"/>
      <c r="L154" s="170">
        <f>SUMIFS('HISTORIQUE DOCS'!$H$4:$H$1000,'HISTORIQUE DOCS'!$F$4:$F$1000,A154,'HISTORIQUE DOCS'!$C$4:$C$1000,"FACTURE",'HISTORIQUE DOCS'!$P$4:$P$1000,"VALIDÉ")</f>
        <v/>
      </c>
      <c r="M154" s="170">
        <f>K154-L154</f>
        <v/>
      </c>
      <c r="N154" s="169" t="n"/>
      <c r="O154" s="164" t="n"/>
      <c r="P154" s="164" t="n"/>
    </row>
    <row r="155">
      <c r="A155" s="164" t="n"/>
      <c r="B155" s="164" t="n"/>
      <c r="C155" s="164" t="n"/>
      <c r="D155" s="164" t="n"/>
      <c r="E155" s="166" t="n"/>
      <c r="F155" s="166" t="n"/>
      <c r="G155" s="166" t="n"/>
      <c r="H155" s="167">
        <f>E155+F155+G155</f>
        <v/>
      </c>
      <c r="I155" s="168" t="n"/>
      <c r="J155" s="167">
        <f>H155*(1+I155)</f>
        <v/>
      </c>
      <c r="K155" s="169" t="n"/>
      <c r="L155" s="170">
        <f>SUMIFS('HISTORIQUE DOCS'!$H$4:$H$1000,'HISTORIQUE DOCS'!$F$4:$F$1000,A155,'HISTORIQUE DOCS'!$C$4:$C$1000,"FACTURE",'HISTORIQUE DOCS'!$P$4:$P$1000,"VALIDÉ")</f>
        <v/>
      </c>
      <c r="M155" s="170">
        <f>K155-L155</f>
        <v/>
      </c>
      <c r="N155" s="169" t="n"/>
      <c r="O155" s="164" t="n"/>
      <c r="P155" s="164" t="n"/>
    </row>
    <row r="156">
      <c r="A156" s="164" t="n"/>
      <c r="B156" s="164" t="n"/>
      <c r="C156" s="164" t="n"/>
      <c r="D156" s="164" t="n"/>
      <c r="E156" s="166" t="n"/>
      <c r="F156" s="166" t="n"/>
      <c r="G156" s="166" t="n"/>
      <c r="H156" s="167">
        <f>E156+F156+G156</f>
        <v/>
      </c>
      <c r="I156" s="168" t="n"/>
      <c r="J156" s="167">
        <f>H156*(1+I156)</f>
        <v/>
      </c>
      <c r="K156" s="169" t="n"/>
      <c r="L156" s="170">
        <f>SUMIFS('HISTORIQUE DOCS'!$H$4:$H$1000,'HISTORIQUE DOCS'!$F$4:$F$1000,A156,'HISTORIQUE DOCS'!$C$4:$C$1000,"FACTURE",'HISTORIQUE DOCS'!$P$4:$P$1000,"VALIDÉ")</f>
        <v/>
      </c>
      <c r="M156" s="170">
        <f>K156-L156</f>
        <v/>
      </c>
      <c r="N156" s="169" t="n"/>
      <c r="O156" s="164" t="n"/>
      <c r="P156" s="164" t="n"/>
    </row>
    <row r="157">
      <c r="A157" s="164" t="n"/>
      <c r="B157" s="164" t="n"/>
      <c r="C157" s="164" t="n"/>
      <c r="D157" s="164" t="n"/>
      <c r="E157" s="166" t="n"/>
      <c r="F157" s="166" t="n"/>
      <c r="G157" s="166" t="n"/>
      <c r="H157" s="167">
        <f>E157+F157+G157</f>
        <v/>
      </c>
      <c r="I157" s="168" t="n"/>
      <c r="J157" s="167">
        <f>H157*(1+I157)</f>
        <v/>
      </c>
      <c r="K157" s="169" t="n"/>
      <c r="L157" s="170">
        <f>SUMIFS('HISTORIQUE DOCS'!$H$4:$H$1000,'HISTORIQUE DOCS'!$F$4:$F$1000,A157,'HISTORIQUE DOCS'!$C$4:$C$1000,"FACTURE",'HISTORIQUE DOCS'!$P$4:$P$1000,"VALIDÉ")</f>
        <v/>
      </c>
      <c r="M157" s="170">
        <f>K157-L157</f>
        <v/>
      </c>
      <c r="N157" s="169" t="n"/>
      <c r="O157" s="164" t="n"/>
      <c r="P157" s="164" t="n"/>
    </row>
    <row r="158">
      <c r="A158" s="164" t="n"/>
      <c r="B158" s="164" t="n"/>
      <c r="C158" s="164" t="n"/>
      <c r="D158" s="164" t="n"/>
      <c r="E158" s="166" t="n"/>
      <c r="F158" s="166" t="n"/>
      <c r="G158" s="166" t="n"/>
      <c r="H158" s="167">
        <f>E158+F158+G158</f>
        <v/>
      </c>
      <c r="I158" s="168" t="n"/>
      <c r="J158" s="167">
        <f>H158*(1+I158)</f>
        <v/>
      </c>
      <c r="K158" s="169" t="n"/>
      <c r="L158" s="170">
        <f>SUMIFS('HISTORIQUE DOCS'!$H$4:$H$1000,'HISTORIQUE DOCS'!$F$4:$F$1000,A158,'HISTORIQUE DOCS'!$C$4:$C$1000,"FACTURE",'HISTORIQUE DOCS'!$P$4:$P$1000,"VALIDÉ")</f>
        <v/>
      </c>
      <c r="M158" s="170">
        <f>K158-L158</f>
        <v/>
      </c>
      <c r="N158" s="169" t="n"/>
      <c r="O158" s="164" t="n"/>
      <c r="P158" s="164" t="n"/>
    </row>
    <row r="159">
      <c r="A159" s="164" t="n"/>
      <c r="B159" s="164" t="n"/>
      <c r="C159" s="164" t="n"/>
      <c r="D159" s="164" t="n"/>
      <c r="E159" s="166" t="n"/>
      <c r="F159" s="166" t="n"/>
      <c r="G159" s="166" t="n"/>
      <c r="H159" s="167">
        <f>E159+F159+G159</f>
        <v/>
      </c>
      <c r="I159" s="168" t="n"/>
      <c r="J159" s="167">
        <f>H159*(1+I159)</f>
        <v/>
      </c>
      <c r="K159" s="169" t="n"/>
      <c r="L159" s="170">
        <f>SUMIFS('HISTORIQUE DOCS'!$H$4:$H$1000,'HISTORIQUE DOCS'!$F$4:$F$1000,A159,'HISTORIQUE DOCS'!$C$4:$C$1000,"FACTURE",'HISTORIQUE DOCS'!$P$4:$P$1000,"VALIDÉ")</f>
        <v/>
      </c>
      <c r="M159" s="170">
        <f>K159-L159</f>
        <v/>
      </c>
      <c r="N159" s="169" t="n"/>
      <c r="O159" s="164" t="n"/>
      <c r="P159" s="164" t="n"/>
    </row>
    <row r="160">
      <c r="A160" s="164" t="n"/>
      <c r="B160" s="164" t="n"/>
      <c r="C160" s="164" t="n"/>
      <c r="D160" s="164" t="n"/>
      <c r="E160" s="166" t="n"/>
      <c r="F160" s="166" t="n"/>
      <c r="G160" s="166" t="n"/>
      <c r="H160" s="167">
        <f>E160+F160+G160</f>
        <v/>
      </c>
      <c r="I160" s="168" t="n"/>
      <c r="J160" s="167">
        <f>H160*(1+I160)</f>
        <v/>
      </c>
      <c r="K160" s="169" t="n"/>
      <c r="L160" s="170">
        <f>SUMIFS('HISTORIQUE DOCS'!$H$4:$H$1000,'HISTORIQUE DOCS'!$F$4:$F$1000,A160,'HISTORIQUE DOCS'!$C$4:$C$1000,"FACTURE",'HISTORIQUE DOCS'!$P$4:$P$1000,"VALIDÉ")</f>
        <v/>
      </c>
      <c r="M160" s="170">
        <f>K160-L160</f>
        <v/>
      </c>
      <c r="N160" s="169" t="n"/>
      <c r="O160" s="164" t="n"/>
      <c r="P160" s="164" t="n"/>
    </row>
    <row r="161">
      <c r="A161" s="164" t="n"/>
      <c r="B161" s="164" t="n"/>
      <c r="C161" s="164" t="n"/>
      <c r="D161" s="164" t="n"/>
      <c r="E161" s="166" t="n"/>
      <c r="F161" s="166" t="n"/>
      <c r="G161" s="166" t="n"/>
      <c r="H161" s="167">
        <f>E161+F161+G161</f>
        <v/>
      </c>
      <c r="I161" s="168" t="n"/>
      <c r="J161" s="167">
        <f>H161*(1+I161)</f>
        <v/>
      </c>
      <c r="K161" s="169" t="n"/>
      <c r="L161" s="170">
        <f>SUMIFS('HISTORIQUE DOCS'!$H$4:$H$1000,'HISTORIQUE DOCS'!$F$4:$F$1000,A161,'HISTORIQUE DOCS'!$C$4:$C$1000,"FACTURE",'HISTORIQUE DOCS'!$P$4:$P$1000,"VALIDÉ")</f>
        <v/>
      </c>
      <c r="M161" s="170">
        <f>K161-L161</f>
        <v/>
      </c>
      <c r="N161" s="169" t="n"/>
      <c r="O161" s="164" t="n"/>
      <c r="P161" s="164" t="n"/>
    </row>
    <row r="162">
      <c r="A162" s="164" t="n"/>
      <c r="B162" s="164" t="n"/>
      <c r="C162" s="164" t="n"/>
      <c r="D162" s="164" t="n"/>
      <c r="E162" s="166" t="n"/>
      <c r="F162" s="166" t="n"/>
      <c r="G162" s="166" t="n"/>
      <c r="H162" s="167">
        <f>E162+F162+G162</f>
        <v/>
      </c>
      <c r="I162" s="168" t="n"/>
      <c r="J162" s="167">
        <f>H162*(1+I162)</f>
        <v/>
      </c>
      <c r="K162" s="169" t="n"/>
      <c r="L162" s="170">
        <f>SUMIFS('HISTORIQUE DOCS'!$H$4:$H$1000,'HISTORIQUE DOCS'!$F$4:$F$1000,A162,'HISTORIQUE DOCS'!$C$4:$C$1000,"FACTURE",'HISTORIQUE DOCS'!$P$4:$P$1000,"VALIDÉ")</f>
        <v/>
      </c>
      <c r="M162" s="170">
        <f>K162-L162</f>
        <v/>
      </c>
      <c r="N162" s="169" t="n"/>
      <c r="O162" s="164" t="n"/>
      <c r="P162" s="164" t="n"/>
    </row>
    <row r="163">
      <c r="A163" s="164" t="n"/>
      <c r="B163" s="164" t="n"/>
      <c r="C163" s="164" t="n"/>
      <c r="D163" s="164" t="n"/>
      <c r="E163" s="166" t="n"/>
      <c r="F163" s="166" t="n"/>
      <c r="G163" s="166" t="n"/>
      <c r="H163" s="167">
        <f>E163+F163+G163</f>
        <v/>
      </c>
      <c r="I163" s="168" t="n"/>
      <c r="J163" s="167">
        <f>H163*(1+I163)</f>
        <v/>
      </c>
      <c r="K163" s="169" t="n"/>
      <c r="L163" s="170">
        <f>SUMIFS('HISTORIQUE DOCS'!$H$4:$H$1000,'HISTORIQUE DOCS'!$F$4:$F$1000,A163,'HISTORIQUE DOCS'!$C$4:$C$1000,"FACTURE",'HISTORIQUE DOCS'!$P$4:$P$1000,"VALIDÉ")</f>
        <v/>
      </c>
      <c r="M163" s="170">
        <f>K163-L163</f>
        <v/>
      </c>
      <c r="N163" s="169" t="n"/>
      <c r="O163" s="164" t="n"/>
      <c r="P163" s="164" t="n"/>
    </row>
    <row r="164">
      <c r="A164" s="164" t="n"/>
      <c r="B164" s="164" t="n"/>
      <c r="C164" s="164" t="n"/>
      <c r="D164" s="164" t="n"/>
      <c r="E164" s="166" t="n"/>
      <c r="F164" s="166" t="n"/>
      <c r="G164" s="166" t="n"/>
      <c r="H164" s="167">
        <f>E164+F164+G164</f>
        <v/>
      </c>
      <c r="I164" s="168" t="n"/>
      <c r="J164" s="167">
        <f>H164*(1+I164)</f>
        <v/>
      </c>
      <c r="K164" s="169" t="n"/>
      <c r="L164" s="170">
        <f>SUMIFS('HISTORIQUE DOCS'!$H$4:$H$1000,'HISTORIQUE DOCS'!$F$4:$F$1000,A164,'HISTORIQUE DOCS'!$C$4:$C$1000,"FACTURE",'HISTORIQUE DOCS'!$P$4:$P$1000,"VALIDÉ")</f>
        <v/>
      </c>
      <c r="M164" s="170">
        <f>K164-L164</f>
        <v/>
      </c>
      <c r="N164" s="169" t="n"/>
      <c r="O164" s="164" t="n"/>
      <c r="P164" s="164" t="n"/>
    </row>
    <row r="165">
      <c r="A165" s="164" t="n"/>
      <c r="B165" s="164" t="n"/>
      <c r="C165" s="164" t="n"/>
      <c r="D165" s="164" t="n"/>
      <c r="E165" s="166" t="n"/>
      <c r="F165" s="166" t="n"/>
      <c r="G165" s="166" t="n"/>
      <c r="H165" s="167">
        <f>E165+F165+G165</f>
        <v/>
      </c>
      <c r="I165" s="168" t="n"/>
      <c r="J165" s="167">
        <f>H165*(1+I165)</f>
        <v/>
      </c>
      <c r="K165" s="169" t="n"/>
      <c r="L165" s="170">
        <f>SUMIFS('HISTORIQUE DOCS'!$H$4:$H$1000,'HISTORIQUE DOCS'!$F$4:$F$1000,A165,'HISTORIQUE DOCS'!$C$4:$C$1000,"FACTURE",'HISTORIQUE DOCS'!$P$4:$P$1000,"VALIDÉ")</f>
        <v/>
      </c>
      <c r="M165" s="170">
        <f>K165-L165</f>
        <v/>
      </c>
      <c r="N165" s="169" t="n"/>
      <c r="O165" s="164" t="n"/>
      <c r="P165" s="164" t="n"/>
    </row>
    <row r="166">
      <c r="A166" s="164" t="n"/>
      <c r="B166" s="164" t="n"/>
      <c r="C166" s="164" t="n"/>
      <c r="D166" s="164" t="n"/>
      <c r="E166" s="166" t="n"/>
      <c r="F166" s="166" t="n"/>
      <c r="G166" s="166" t="n"/>
      <c r="H166" s="167">
        <f>E166+F166+G166</f>
        <v/>
      </c>
      <c r="I166" s="168" t="n"/>
      <c r="J166" s="167">
        <f>H166*(1+I166)</f>
        <v/>
      </c>
      <c r="K166" s="169" t="n"/>
      <c r="L166" s="170">
        <f>SUMIFS('HISTORIQUE DOCS'!$H$4:$H$1000,'HISTORIQUE DOCS'!$F$4:$F$1000,A166,'HISTORIQUE DOCS'!$C$4:$C$1000,"FACTURE",'HISTORIQUE DOCS'!$P$4:$P$1000,"VALIDÉ")</f>
        <v/>
      </c>
      <c r="M166" s="170">
        <f>K166-L166</f>
        <v/>
      </c>
      <c r="N166" s="169" t="n"/>
      <c r="O166" s="164" t="n"/>
      <c r="P166" s="164" t="n"/>
    </row>
    <row r="167">
      <c r="A167" s="164" t="n"/>
      <c r="B167" s="164" t="n"/>
      <c r="C167" s="164" t="n"/>
      <c r="D167" s="164" t="n"/>
      <c r="E167" s="166" t="n"/>
      <c r="F167" s="166" t="n"/>
      <c r="G167" s="166" t="n"/>
      <c r="H167" s="167">
        <f>E167+F167+G167</f>
        <v/>
      </c>
      <c r="I167" s="168" t="n"/>
      <c r="J167" s="167">
        <f>H167*(1+I167)</f>
        <v/>
      </c>
      <c r="K167" s="169" t="n"/>
      <c r="L167" s="170">
        <f>SUMIFS('HISTORIQUE DOCS'!$H$4:$H$1000,'HISTORIQUE DOCS'!$F$4:$F$1000,A167,'HISTORIQUE DOCS'!$C$4:$C$1000,"FACTURE",'HISTORIQUE DOCS'!$P$4:$P$1000,"VALIDÉ")</f>
        <v/>
      </c>
      <c r="M167" s="170">
        <f>K167-L167</f>
        <v/>
      </c>
      <c r="N167" s="169" t="n"/>
      <c r="O167" s="164" t="n"/>
      <c r="P167" s="164" t="n"/>
    </row>
    <row r="168">
      <c r="A168" s="164" t="n"/>
      <c r="B168" s="164" t="n"/>
      <c r="C168" s="164" t="n"/>
      <c r="D168" s="164" t="n"/>
      <c r="E168" s="166" t="n"/>
      <c r="F168" s="166" t="n"/>
      <c r="G168" s="166" t="n"/>
      <c r="H168" s="167">
        <f>E168+F168+G168</f>
        <v/>
      </c>
      <c r="I168" s="168" t="n"/>
      <c r="J168" s="167">
        <f>H168*(1+I168)</f>
        <v/>
      </c>
      <c r="K168" s="169" t="n"/>
      <c r="L168" s="170">
        <f>SUMIFS('HISTORIQUE DOCS'!$H$4:$H$1000,'HISTORIQUE DOCS'!$F$4:$F$1000,A168,'HISTORIQUE DOCS'!$C$4:$C$1000,"FACTURE",'HISTORIQUE DOCS'!$P$4:$P$1000,"VALIDÉ")</f>
        <v/>
      </c>
      <c r="M168" s="170">
        <f>K168-L168</f>
        <v/>
      </c>
      <c r="N168" s="169" t="n"/>
      <c r="O168" s="164" t="n"/>
      <c r="P168" s="164" t="n"/>
    </row>
    <row r="169">
      <c r="A169" s="164" t="n"/>
      <c r="B169" s="164" t="n"/>
      <c r="C169" s="164" t="n"/>
      <c r="D169" s="164" t="n"/>
      <c r="E169" s="166" t="n"/>
      <c r="F169" s="166" t="n"/>
      <c r="G169" s="166" t="n"/>
      <c r="H169" s="167">
        <f>E169+F169+G169</f>
        <v/>
      </c>
      <c r="I169" s="168" t="n"/>
      <c r="J169" s="167">
        <f>H169*(1+I169)</f>
        <v/>
      </c>
      <c r="K169" s="169" t="n"/>
      <c r="L169" s="170">
        <f>SUMIFS('HISTORIQUE DOCS'!$H$4:$H$1000,'HISTORIQUE DOCS'!$F$4:$F$1000,A169,'HISTORIQUE DOCS'!$C$4:$C$1000,"FACTURE",'HISTORIQUE DOCS'!$P$4:$P$1000,"VALIDÉ")</f>
        <v/>
      </c>
      <c r="M169" s="170">
        <f>K169-L169</f>
        <v/>
      </c>
      <c r="N169" s="169" t="n"/>
      <c r="O169" s="164" t="n"/>
      <c r="P169" s="164" t="n"/>
    </row>
    <row r="170">
      <c r="A170" s="164" t="n"/>
      <c r="B170" s="164" t="n"/>
      <c r="C170" s="164" t="n"/>
      <c r="D170" s="164" t="n"/>
      <c r="E170" s="166" t="n"/>
      <c r="F170" s="166" t="n"/>
      <c r="G170" s="166" t="n"/>
      <c r="H170" s="167">
        <f>E170+F170+G170</f>
        <v/>
      </c>
      <c r="I170" s="168" t="n"/>
      <c r="J170" s="167">
        <f>H170*(1+I170)</f>
        <v/>
      </c>
      <c r="K170" s="169" t="n"/>
      <c r="L170" s="170">
        <f>SUMIFS('HISTORIQUE DOCS'!$H$4:$H$1000,'HISTORIQUE DOCS'!$F$4:$F$1000,A170,'HISTORIQUE DOCS'!$C$4:$C$1000,"FACTURE",'HISTORIQUE DOCS'!$P$4:$P$1000,"VALIDÉ")</f>
        <v/>
      </c>
      <c r="M170" s="170">
        <f>K170-L170</f>
        <v/>
      </c>
      <c r="N170" s="169" t="n"/>
      <c r="O170" s="164" t="n"/>
      <c r="P170" s="164" t="n"/>
    </row>
    <row r="171">
      <c r="A171" s="164" t="n"/>
      <c r="B171" s="164" t="n"/>
      <c r="C171" s="164" t="n"/>
      <c r="D171" s="164" t="n"/>
      <c r="E171" s="166" t="n"/>
      <c r="F171" s="166" t="n"/>
      <c r="G171" s="166" t="n"/>
      <c r="H171" s="167">
        <f>E171+F171+G171</f>
        <v/>
      </c>
      <c r="I171" s="168" t="n"/>
      <c r="J171" s="167">
        <f>H171*(1+I171)</f>
        <v/>
      </c>
      <c r="K171" s="169" t="n"/>
      <c r="L171" s="170">
        <f>SUMIFS('HISTORIQUE DOCS'!$H$4:$H$1000,'HISTORIQUE DOCS'!$F$4:$F$1000,A171,'HISTORIQUE DOCS'!$C$4:$C$1000,"FACTURE",'HISTORIQUE DOCS'!$P$4:$P$1000,"VALIDÉ")</f>
        <v/>
      </c>
      <c r="M171" s="170">
        <f>K171-L171</f>
        <v/>
      </c>
      <c r="N171" s="169" t="n"/>
      <c r="O171" s="164" t="n"/>
      <c r="P171" s="164" t="n"/>
    </row>
    <row r="172">
      <c r="A172" s="164" t="n"/>
      <c r="B172" s="164" t="n"/>
      <c r="C172" s="164" t="n"/>
      <c r="D172" s="164" t="n"/>
      <c r="E172" s="166" t="n"/>
      <c r="F172" s="166" t="n"/>
      <c r="G172" s="166" t="n"/>
      <c r="H172" s="167">
        <f>E172+F172+G172</f>
        <v/>
      </c>
      <c r="I172" s="168" t="n"/>
      <c r="J172" s="167">
        <f>H172*(1+I172)</f>
        <v/>
      </c>
      <c r="K172" s="169" t="n"/>
      <c r="L172" s="170">
        <f>SUMIFS('HISTORIQUE DOCS'!$H$4:$H$1000,'HISTORIQUE DOCS'!$F$4:$F$1000,A172,'HISTORIQUE DOCS'!$C$4:$C$1000,"FACTURE",'HISTORIQUE DOCS'!$P$4:$P$1000,"VALIDÉ")</f>
        <v/>
      </c>
      <c r="M172" s="170">
        <f>K172-L172</f>
        <v/>
      </c>
      <c r="N172" s="169" t="n"/>
      <c r="O172" s="164" t="n"/>
      <c r="P172" s="164" t="n"/>
    </row>
    <row r="173">
      <c r="A173" s="164" t="n"/>
      <c r="B173" s="164" t="n"/>
      <c r="C173" s="164" t="n"/>
      <c r="D173" s="164" t="n"/>
      <c r="E173" s="166" t="n"/>
      <c r="F173" s="166" t="n"/>
      <c r="G173" s="166" t="n"/>
      <c r="H173" s="167">
        <f>E173+F173+G173</f>
        <v/>
      </c>
      <c r="I173" s="168" t="n"/>
      <c r="J173" s="167">
        <f>H173*(1+I173)</f>
        <v/>
      </c>
      <c r="K173" s="169" t="n"/>
      <c r="L173" s="170">
        <f>SUMIFS('HISTORIQUE DOCS'!$H$4:$H$1000,'HISTORIQUE DOCS'!$F$4:$F$1000,A173,'HISTORIQUE DOCS'!$C$4:$C$1000,"FACTURE",'HISTORIQUE DOCS'!$P$4:$P$1000,"VALIDÉ")</f>
        <v/>
      </c>
      <c r="M173" s="170">
        <f>K173-L173</f>
        <v/>
      </c>
      <c r="N173" s="169" t="n"/>
      <c r="O173" s="164" t="n"/>
      <c r="P173" s="164" t="n"/>
    </row>
    <row r="174">
      <c r="A174" s="164" t="n"/>
      <c r="B174" s="164" t="n"/>
      <c r="C174" s="164" t="n"/>
      <c r="D174" s="164" t="n"/>
      <c r="E174" s="166" t="n"/>
      <c r="F174" s="166" t="n"/>
      <c r="G174" s="166" t="n"/>
      <c r="H174" s="167">
        <f>E174+F174+G174</f>
        <v/>
      </c>
      <c r="I174" s="168" t="n"/>
      <c r="J174" s="167">
        <f>H174*(1+I174)</f>
        <v/>
      </c>
      <c r="K174" s="169" t="n"/>
      <c r="L174" s="170">
        <f>SUMIFS('HISTORIQUE DOCS'!$H$4:$H$1000,'HISTORIQUE DOCS'!$F$4:$F$1000,A174,'HISTORIQUE DOCS'!$C$4:$C$1000,"FACTURE",'HISTORIQUE DOCS'!$P$4:$P$1000,"VALIDÉ")</f>
        <v/>
      </c>
      <c r="M174" s="170">
        <f>K174-L174</f>
        <v/>
      </c>
      <c r="N174" s="169" t="n"/>
      <c r="O174" s="164" t="n"/>
      <c r="P174" s="164" t="n"/>
    </row>
    <row r="175">
      <c r="A175" s="164" t="n"/>
      <c r="B175" s="164" t="n"/>
      <c r="C175" s="164" t="n"/>
      <c r="D175" s="164" t="n"/>
      <c r="E175" s="166" t="n"/>
      <c r="F175" s="166" t="n"/>
      <c r="G175" s="166" t="n"/>
      <c r="H175" s="167">
        <f>E175+F175+G175</f>
        <v/>
      </c>
      <c r="I175" s="168" t="n"/>
      <c r="J175" s="167">
        <f>H175*(1+I175)</f>
        <v/>
      </c>
      <c r="K175" s="169" t="n"/>
      <c r="L175" s="170">
        <f>SUMIFS('HISTORIQUE DOCS'!$H$4:$H$1000,'HISTORIQUE DOCS'!$F$4:$F$1000,A175,'HISTORIQUE DOCS'!$C$4:$C$1000,"FACTURE",'HISTORIQUE DOCS'!$P$4:$P$1000,"VALIDÉ")</f>
        <v/>
      </c>
      <c r="M175" s="170">
        <f>K175-L175</f>
        <v/>
      </c>
      <c r="N175" s="169" t="n"/>
      <c r="O175" s="164" t="n"/>
      <c r="P175" s="164" t="n"/>
    </row>
    <row r="176">
      <c r="A176" s="164" t="n"/>
      <c r="B176" s="164" t="n"/>
      <c r="C176" s="164" t="n"/>
      <c r="D176" s="164" t="n"/>
      <c r="E176" s="166" t="n"/>
      <c r="F176" s="166" t="n"/>
      <c r="G176" s="166" t="n"/>
      <c r="H176" s="167">
        <f>E176+F176+G176</f>
        <v/>
      </c>
      <c r="I176" s="168" t="n"/>
      <c r="J176" s="167">
        <f>H176*(1+I176)</f>
        <v/>
      </c>
      <c r="K176" s="169" t="n"/>
      <c r="L176" s="170">
        <f>SUMIFS('HISTORIQUE DOCS'!$H$4:$H$1000,'HISTORIQUE DOCS'!$F$4:$F$1000,A176,'HISTORIQUE DOCS'!$C$4:$C$1000,"FACTURE",'HISTORIQUE DOCS'!$P$4:$P$1000,"VALIDÉ")</f>
        <v/>
      </c>
      <c r="M176" s="170">
        <f>K176-L176</f>
        <v/>
      </c>
      <c r="N176" s="169" t="n"/>
      <c r="O176" s="164" t="n"/>
      <c r="P176" s="164" t="n"/>
    </row>
    <row r="177">
      <c r="A177" s="164" t="n"/>
      <c r="B177" s="164" t="n"/>
      <c r="C177" s="164" t="n"/>
      <c r="D177" s="164" t="n"/>
      <c r="E177" s="166" t="n"/>
      <c r="F177" s="166" t="n"/>
      <c r="G177" s="166" t="n"/>
      <c r="H177" s="167">
        <f>E177+F177+G177</f>
        <v/>
      </c>
      <c r="I177" s="168" t="n"/>
      <c r="J177" s="167">
        <f>H177*(1+I177)</f>
        <v/>
      </c>
      <c r="K177" s="169" t="n"/>
      <c r="L177" s="170">
        <f>SUMIFS('HISTORIQUE DOCS'!$H$4:$H$1000,'HISTORIQUE DOCS'!$F$4:$F$1000,A177,'HISTORIQUE DOCS'!$C$4:$C$1000,"FACTURE",'HISTORIQUE DOCS'!$P$4:$P$1000,"VALIDÉ")</f>
        <v/>
      </c>
      <c r="M177" s="170">
        <f>K177-L177</f>
        <v/>
      </c>
      <c r="N177" s="169" t="n"/>
      <c r="O177" s="164" t="n"/>
      <c r="P177" s="164" t="n"/>
    </row>
    <row r="178">
      <c r="A178" s="164" t="n"/>
      <c r="B178" s="164" t="n"/>
      <c r="C178" s="164" t="n"/>
      <c r="D178" s="164" t="n"/>
      <c r="E178" s="166" t="n"/>
      <c r="F178" s="166" t="n"/>
      <c r="G178" s="166" t="n"/>
      <c r="H178" s="167">
        <f>E178+F178+G178</f>
        <v/>
      </c>
      <c r="I178" s="168" t="n"/>
      <c r="J178" s="167">
        <f>H178*(1+I178)</f>
        <v/>
      </c>
      <c r="K178" s="169" t="n"/>
      <c r="L178" s="170">
        <f>SUMIFS('HISTORIQUE DOCS'!$H$4:$H$1000,'HISTORIQUE DOCS'!$F$4:$F$1000,A178,'HISTORIQUE DOCS'!$C$4:$C$1000,"FACTURE",'HISTORIQUE DOCS'!$P$4:$P$1000,"VALIDÉ")</f>
        <v/>
      </c>
      <c r="M178" s="170">
        <f>K178-L178</f>
        <v/>
      </c>
      <c r="N178" s="169" t="n"/>
      <c r="O178" s="164" t="n"/>
      <c r="P178" s="164" t="n"/>
    </row>
    <row r="179">
      <c r="A179" s="164" t="n"/>
      <c r="B179" s="164" t="n"/>
      <c r="C179" s="164" t="n"/>
      <c r="D179" s="164" t="n"/>
      <c r="E179" s="166" t="n"/>
      <c r="F179" s="166" t="n"/>
      <c r="G179" s="166" t="n"/>
      <c r="H179" s="167">
        <f>E179+F179+G179</f>
        <v/>
      </c>
      <c r="I179" s="168" t="n"/>
      <c r="J179" s="167">
        <f>H179*(1+I179)</f>
        <v/>
      </c>
      <c r="K179" s="169" t="n"/>
      <c r="L179" s="170">
        <f>SUMIFS('HISTORIQUE DOCS'!$H$4:$H$1000,'HISTORIQUE DOCS'!$F$4:$F$1000,A179,'HISTORIQUE DOCS'!$C$4:$C$1000,"FACTURE",'HISTORIQUE DOCS'!$P$4:$P$1000,"VALIDÉ")</f>
        <v/>
      </c>
      <c r="M179" s="170">
        <f>K179-L179</f>
        <v/>
      </c>
      <c r="N179" s="169" t="n"/>
      <c r="O179" s="164" t="n"/>
      <c r="P179" s="164" t="n"/>
    </row>
    <row r="180">
      <c r="A180" s="164" t="n"/>
      <c r="B180" s="164" t="n"/>
      <c r="C180" s="164" t="n"/>
      <c r="D180" s="164" t="n"/>
      <c r="E180" s="166" t="n"/>
      <c r="F180" s="166" t="n"/>
      <c r="G180" s="166" t="n"/>
      <c r="H180" s="167">
        <f>E180+F180+G180</f>
        <v/>
      </c>
      <c r="I180" s="168" t="n"/>
      <c r="J180" s="167">
        <f>H180*(1+I180)</f>
        <v/>
      </c>
      <c r="K180" s="169" t="n"/>
      <c r="L180" s="170">
        <f>SUMIFS('HISTORIQUE DOCS'!$H$4:$H$1000,'HISTORIQUE DOCS'!$F$4:$F$1000,A180,'HISTORIQUE DOCS'!$C$4:$C$1000,"FACTURE",'HISTORIQUE DOCS'!$P$4:$P$1000,"VALIDÉ")</f>
        <v/>
      </c>
      <c r="M180" s="170">
        <f>K180-L180</f>
        <v/>
      </c>
      <c r="N180" s="169" t="n"/>
      <c r="O180" s="164" t="n"/>
      <c r="P180" s="164" t="n"/>
    </row>
    <row r="181">
      <c r="A181" s="164" t="n"/>
      <c r="B181" s="164" t="n"/>
      <c r="C181" s="164" t="n"/>
      <c r="D181" s="164" t="n"/>
      <c r="E181" s="166" t="n"/>
      <c r="F181" s="166" t="n"/>
      <c r="G181" s="166" t="n"/>
      <c r="H181" s="167">
        <f>E181+F181+G181</f>
        <v/>
      </c>
      <c r="I181" s="168" t="n"/>
      <c r="J181" s="167">
        <f>H181*(1+I181)</f>
        <v/>
      </c>
      <c r="K181" s="169" t="n"/>
      <c r="L181" s="170">
        <f>SUMIFS('HISTORIQUE DOCS'!$H$4:$H$1000,'HISTORIQUE DOCS'!$F$4:$F$1000,A181,'HISTORIQUE DOCS'!$C$4:$C$1000,"FACTURE",'HISTORIQUE DOCS'!$P$4:$P$1000,"VALIDÉ")</f>
        <v/>
      </c>
      <c r="M181" s="170">
        <f>K181-L181</f>
        <v/>
      </c>
      <c r="N181" s="169" t="n"/>
      <c r="O181" s="164" t="n"/>
      <c r="P181" s="164" t="n"/>
    </row>
    <row r="182">
      <c r="A182" s="164" t="n"/>
      <c r="B182" s="164" t="n"/>
      <c r="C182" s="164" t="n"/>
      <c r="D182" s="164" t="n"/>
      <c r="E182" s="166" t="n"/>
      <c r="F182" s="166" t="n"/>
      <c r="G182" s="166" t="n"/>
      <c r="H182" s="167">
        <f>E182+F182+G182</f>
        <v/>
      </c>
      <c r="I182" s="168" t="n"/>
      <c r="J182" s="167">
        <f>H182*(1+I182)</f>
        <v/>
      </c>
      <c r="K182" s="169" t="n"/>
      <c r="L182" s="170">
        <f>SUMIFS('HISTORIQUE DOCS'!$H$4:$H$1000,'HISTORIQUE DOCS'!$F$4:$F$1000,A182,'HISTORIQUE DOCS'!$C$4:$C$1000,"FACTURE",'HISTORIQUE DOCS'!$P$4:$P$1000,"VALIDÉ")</f>
        <v/>
      </c>
      <c r="M182" s="170">
        <f>K182-L182</f>
        <v/>
      </c>
      <c r="N182" s="169" t="n"/>
      <c r="O182" s="164" t="n"/>
      <c r="P182" s="164" t="n"/>
    </row>
    <row r="183">
      <c r="A183" s="164" t="n"/>
      <c r="B183" s="164" t="n"/>
      <c r="C183" s="164" t="n"/>
      <c r="D183" s="164" t="n"/>
      <c r="E183" s="166" t="n"/>
      <c r="F183" s="166" t="n"/>
      <c r="G183" s="166" t="n"/>
      <c r="H183" s="167">
        <f>E183+F183+G183</f>
        <v/>
      </c>
      <c r="I183" s="168" t="n"/>
      <c r="J183" s="167">
        <f>H183*(1+I183)</f>
        <v/>
      </c>
      <c r="K183" s="169" t="n"/>
      <c r="L183" s="170">
        <f>SUMIFS('HISTORIQUE DOCS'!$H$4:$H$1000,'HISTORIQUE DOCS'!$F$4:$F$1000,A183,'HISTORIQUE DOCS'!$C$4:$C$1000,"FACTURE",'HISTORIQUE DOCS'!$P$4:$P$1000,"VALIDÉ")</f>
        <v/>
      </c>
      <c r="M183" s="170">
        <f>K183-L183</f>
        <v/>
      </c>
      <c r="N183" s="169" t="n"/>
      <c r="O183" s="164" t="n"/>
      <c r="P183" s="164" t="n"/>
    </row>
    <row r="184">
      <c r="A184" s="164" t="n"/>
      <c r="B184" s="164" t="n"/>
      <c r="C184" s="164" t="n"/>
      <c r="D184" s="164" t="n"/>
      <c r="E184" s="166" t="n"/>
      <c r="F184" s="166" t="n"/>
      <c r="G184" s="166" t="n"/>
      <c r="H184" s="167">
        <f>E184+F184+G184</f>
        <v/>
      </c>
      <c r="I184" s="168" t="n"/>
      <c r="J184" s="167">
        <f>H184*(1+I184)</f>
        <v/>
      </c>
      <c r="K184" s="169" t="n"/>
      <c r="L184" s="170">
        <f>SUMIFS('HISTORIQUE DOCS'!$H$4:$H$1000,'HISTORIQUE DOCS'!$F$4:$F$1000,A184,'HISTORIQUE DOCS'!$C$4:$C$1000,"FACTURE",'HISTORIQUE DOCS'!$P$4:$P$1000,"VALIDÉ")</f>
        <v/>
      </c>
      <c r="M184" s="170">
        <f>K184-L184</f>
        <v/>
      </c>
      <c r="N184" s="169" t="n"/>
      <c r="O184" s="164" t="n"/>
      <c r="P184" s="164" t="n"/>
    </row>
    <row r="185">
      <c r="A185" s="164" t="n"/>
      <c r="B185" s="164" t="n"/>
      <c r="C185" s="164" t="n"/>
      <c r="D185" s="164" t="n"/>
      <c r="E185" s="166" t="n"/>
      <c r="F185" s="166" t="n"/>
      <c r="G185" s="166" t="n"/>
      <c r="H185" s="167">
        <f>E185+F185+G185</f>
        <v/>
      </c>
      <c r="I185" s="168" t="n"/>
      <c r="J185" s="167">
        <f>H185*(1+I185)</f>
        <v/>
      </c>
      <c r="K185" s="169" t="n"/>
      <c r="L185" s="170">
        <f>SUMIFS('HISTORIQUE DOCS'!$H$4:$H$1000,'HISTORIQUE DOCS'!$F$4:$F$1000,A185,'HISTORIQUE DOCS'!$C$4:$C$1000,"FACTURE",'HISTORIQUE DOCS'!$P$4:$P$1000,"VALIDÉ")</f>
        <v/>
      </c>
      <c r="M185" s="170">
        <f>K185-L185</f>
        <v/>
      </c>
      <c r="N185" s="169" t="n"/>
      <c r="O185" s="164" t="n"/>
      <c r="P185" s="164" t="n"/>
    </row>
    <row r="186">
      <c r="A186" s="164" t="n"/>
      <c r="B186" s="164" t="n"/>
      <c r="C186" s="164" t="n"/>
      <c r="D186" s="164" t="n"/>
      <c r="E186" s="166" t="n"/>
      <c r="F186" s="166" t="n"/>
      <c r="G186" s="166" t="n"/>
      <c r="H186" s="167">
        <f>E186+F186+G186</f>
        <v/>
      </c>
      <c r="I186" s="168" t="n"/>
      <c r="J186" s="167">
        <f>H186*(1+I186)</f>
        <v/>
      </c>
      <c r="K186" s="169" t="n"/>
      <c r="L186" s="170">
        <f>SUMIFS('HISTORIQUE DOCS'!$H$4:$H$1000,'HISTORIQUE DOCS'!$F$4:$F$1000,A186,'HISTORIQUE DOCS'!$C$4:$C$1000,"FACTURE",'HISTORIQUE DOCS'!$P$4:$P$1000,"VALIDÉ")</f>
        <v/>
      </c>
      <c r="M186" s="170">
        <f>K186-L186</f>
        <v/>
      </c>
      <c r="N186" s="169" t="n"/>
      <c r="O186" s="164" t="n"/>
      <c r="P186" s="164" t="n"/>
    </row>
    <row r="187">
      <c r="A187" s="164" t="n"/>
      <c r="B187" s="164" t="n"/>
      <c r="C187" s="164" t="n"/>
      <c r="D187" s="164" t="n"/>
      <c r="E187" s="166" t="n"/>
      <c r="F187" s="166" t="n"/>
      <c r="G187" s="166" t="n"/>
      <c r="H187" s="167">
        <f>E187+F187+G187</f>
        <v/>
      </c>
      <c r="I187" s="168" t="n"/>
      <c r="J187" s="167">
        <f>H187*(1+I187)</f>
        <v/>
      </c>
      <c r="K187" s="169" t="n"/>
      <c r="L187" s="170">
        <f>SUMIFS('HISTORIQUE DOCS'!$H$4:$H$1000,'HISTORIQUE DOCS'!$F$4:$F$1000,A187,'HISTORIQUE DOCS'!$C$4:$C$1000,"FACTURE",'HISTORIQUE DOCS'!$P$4:$P$1000,"VALIDÉ")</f>
        <v/>
      </c>
      <c r="M187" s="170">
        <f>K187-L187</f>
        <v/>
      </c>
      <c r="N187" s="169" t="n"/>
      <c r="O187" s="164" t="n"/>
      <c r="P187" s="164" t="n"/>
    </row>
    <row r="188">
      <c r="A188" s="164" t="n"/>
      <c r="B188" s="164" t="n"/>
      <c r="C188" s="164" t="n"/>
      <c r="D188" s="164" t="n"/>
      <c r="E188" s="166" t="n"/>
      <c r="F188" s="166" t="n"/>
      <c r="G188" s="166" t="n"/>
      <c r="H188" s="167">
        <f>E188+F188+G188</f>
        <v/>
      </c>
      <c r="I188" s="168" t="n"/>
      <c r="J188" s="167">
        <f>H188*(1+I188)</f>
        <v/>
      </c>
      <c r="K188" s="169" t="n"/>
      <c r="L188" s="170">
        <f>SUMIFS('HISTORIQUE DOCS'!$H$4:$H$1000,'HISTORIQUE DOCS'!$F$4:$F$1000,A188,'HISTORIQUE DOCS'!$C$4:$C$1000,"FACTURE",'HISTORIQUE DOCS'!$P$4:$P$1000,"VALIDÉ")</f>
        <v/>
      </c>
      <c r="M188" s="170">
        <f>K188-L188</f>
        <v/>
      </c>
      <c r="N188" s="169" t="n"/>
      <c r="O188" s="164" t="n"/>
      <c r="P188" s="164" t="n"/>
    </row>
    <row r="189">
      <c r="A189" s="164" t="n"/>
      <c r="B189" s="164" t="n"/>
      <c r="C189" s="164" t="n"/>
      <c r="D189" s="164" t="n"/>
      <c r="E189" s="166" t="n"/>
      <c r="F189" s="166" t="n"/>
      <c r="G189" s="166" t="n"/>
      <c r="H189" s="167">
        <f>E189+F189+G189</f>
        <v/>
      </c>
      <c r="I189" s="168" t="n"/>
      <c r="J189" s="167">
        <f>H189*(1+I189)</f>
        <v/>
      </c>
      <c r="K189" s="169" t="n"/>
      <c r="L189" s="170">
        <f>SUMIFS('HISTORIQUE DOCS'!$H$4:$H$1000,'HISTORIQUE DOCS'!$F$4:$F$1000,A189,'HISTORIQUE DOCS'!$C$4:$C$1000,"FACTURE",'HISTORIQUE DOCS'!$P$4:$P$1000,"VALIDÉ")</f>
        <v/>
      </c>
      <c r="M189" s="170">
        <f>K189-L189</f>
        <v/>
      </c>
      <c r="N189" s="169" t="n"/>
      <c r="O189" s="164" t="n"/>
      <c r="P189" s="164" t="n"/>
    </row>
    <row r="190">
      <c r="A190" s="164" t="n"/>
      <c r="B190" s="164" t="n"/>
      <c r="C190" s="164" t="n"/>
      <c r="D190" s="164" t="n"/>
      <c r="E190" s="166" t="n"/>
      <c r="F190" s="166" t="n"/>
      <c r="G190" s="166" t="n"/>
      <c r="H190" s="167">
        <f>E190+F190+G190</f>
        <v/>
      </c>
      <c r="I190" s="168" t="n"/>
      <c r="J190" s="167">
        <f>H190*(1+I190)</f>
        <v/>
      </c>
      <c r="K190" s="169" t="n"/>
      <c r="L190" s="170">
        <f>SUMIFS('HISTORIQUE DOCS'!$H$4:$H$1000,'HISTORIQUE DOCS'!$F$4:$F$1000,A190,'HISTORIQUE DOCS'!$C$4:$C$1000,"FACTURE",'HISTORIQUE DOCS'!$P$4:$P$1000,"VALIDÉ")</f>
        <v/>
      </c>
      <c r="M190" s="170">
        <f>K190-L190</f>
        <v/>
      </c>
      <c r="N190" s="169" t="n"/>
      <c r="O190" s="164" t="n"/>
      <c r="P190" s="164" t="n"/>
    </row>
    <row r="191">
      <c r="A191" s="164" t="n"/>
      <c r="B191" s="164" t="n"/>
      <c r="C191" s="164" t="n"/>
      <c r="D191" s="164" t="n"/>
      <c r="E191" s="166" t="n"/>
      <c r="F191" s="166" t="n"/>
      <c r="G191" s="166" t="n"/>
      <c r="H191" s="167">
        <f>E191+F191+G191</f>
        <v/>
      </c>
      <c r="I191" s="168" t="n"/>
      <c r="J191" s="167">
        <f>H191*(1+I191)</f>
        <v/>
      </c>
      <c r="K191" s="169" t="n"/>
      <c r="L191" s="170">
        <f>SUMIFS('HISTORIQUE DOCS'!$H$4:$H$1000,'HISTORIQUE DOCS'!$F$4:$F$1000,A191,'HISTORIQUE DOCS'!$C$4:$C$1000,"FACTURE",'HISTORIQUE DOCS'!$P$4:$P$1000,"VALIDÉ")</f>
        <v/>
      </c>
      <c r="M191" s="170">
        <f>K191-L191</f>
        <v/>
      </c>
      <c r="N191" s="169" t="n"/>
      <c r="O191" s="164" t="n"/>
      <c r="P191" s="164" t="n"/>
    </row>
    <row r="192">
      <c r="A192" s="164" t="n"/>
      <c r="B192" s="164" t="n"/>
      <c r="C192" s="164" t="n"/>
      <c r="D192" s="164" t="n"/>
      <c r="E192" s="166" t="n"/>
      <c r="F192" s="166" t="n"/>
      <c r="G192" s="166" t="n"/>
      <c r="H192" s="167">
        <f>E192+F192+G192</f>
        <v/>
      </c>
      <c r="I192" s="168" t="n"/>
      <c r="J192" s="167">
        <f>H192*(1+I192)</f>
        <v/>
      </c>
      <c r="K192" s="169" t="n"/>
      <c r="L192" s="170">
        <f>SUMIFS('HISTORIQUE DOCS'!$H$4:$H$1000,'HISTORIQUE DOCS'!$F$4:$F$1000,A192,'HISTORIQUE DOCS'!$C$4:$C$1000,"FACTURE",'HISTORIQUE DOCS'!$P$4:$P$1000,"VALIDÉ")</f>
        <v/>
      </c>
      <c r="M192" s="170">
        <f>K192-L192</f>
        <v/>
      </c>
      <c r="N192" s="169" t="n"/>
      <c r="O192" s="164" t="n"/>
      <c r="P192" s="164" t="n"/>
    </row>
    <row r="193">
      <c r="A193" s="164" t="n"/>
      <c r="B193" s="164" t="n"/>
      <c r="C193" s="164" t="n"/>
      <c r="D193" s="164" t="n"/>
      <c r="E193" s="166" t="n"/>
      <c r="F193" s="166" t="n"/>
      <c r="G193" s="166" t="n"/>
      <c r="H193" s="167">
        <f>E193+F193+G193</f>
        <v/>
      </c>
      <c r="I193" s="168" t="n"/>
      <c r="J193" s="167">
        <f>H193*(1+I193)</f>
        <v/>
      </c>
      <c r="K193" s="169" t="n"/>
      <c r="L193" s="170">
        <f>SUMIFS('HISTORIQUE DOCS'!$H$4:$H$1000,'HISTORIQUE DOCS'!$F$4:$F$1000,A193,'HISTORIQUE DOCS'!$C$4:$C$1000,"FACTURE",'HISTORIQUE DOCS'!$P$4:$P$1000,"VALIDÉ")</f>
        <v/>
      </c>
      <c r="M193" s="170">
        <f>K193-L193</f>
        <v/>
      </c>
      <c r="N193" s="169" t="n"/>
      <c r="O193" s="164" t="n"/>
      <c r="P193" s="164" t="n"/>
    </row>
    <row r="194">
      <c r="A194" s="164" t="n"/>
      <c r="B194" s="164" t="n"/>
      <c r="C194" s="164" t="n"/>
      <c r="D194" s="164" t="n"/>
      <c r="E194" s="166" t="n"/>
      <c r="F194" s="166" t="n"/>
      <c r="G194" s="166" t="n"/>
      <c r="H194" s="167">
        <f>E194+F194+G194</f>
        <v/>
      </c>
      <c r="I194" s="168" t="n"/>
      <c r="J194" s="167">
        <f>H194*(1+I194)</f>
        <v/>
      </c>
      <c r="K194" s="169" t="n"/>
      <c r="L194" s="170">
        <f>SUMIFS('HISTORIQUE DOCS'!$H$4:$H$1000,'HISTORIQUE DOCS'!$F$4:$F$1000,A194,'HISTORIQUE DOCS'!$C$4:$C$1000,"FACTURE",'HISTORIQUE DOCS'!$P$4:$P$1000,"VALIDÉ")</f>
        <v/>
      </c>
      <c r="M194" s="170">
        <f>K194-L194</f>
        <v/>
      </c>
      <c r="N194" s="169" t="n"/>
      <c r="O194" s="164" t="n"/>
      <c r="P194" s="164" t="n"/>
    </row>
    <row r="195">
      <c r="A195" s="164" t="n"/>
      <c r="B195" s="164" t="n"/>
      <c r="C195" s="164" t="n"/>
      <c r="D195" s="164" t="n"/>
      <c r="E195" s="166" t="n"/>
      <c r="F195" s="166" t="n"/>
      <c r="G195" s="166" t="n"/>
      <c r="H195" s="167">
        <f>E195+F195+G195</f>
        <v/>
      </c>
      <c r="I195" s="168" t="n"/>
      <c r="J195" s="167">
        <f>H195*(1+I195)</f>
        <v/>
      </c>
      <c r="K195" s="169" t="n"/>
      <c r="L195" s="170">
        <f>SUMIFS('HISTORIQUE DOCS'!$H$4:$H$1000,'HISTORIQUE DOCS'!$F$4:$F$1000,A195,'HISTORIQUE DOCS'!$C$4:$C$1000,"FACTURE",'HISTORIQUE DOCS'!$P$4:$P$1000,"VALIDÉ")</f>
        <v/>
      </c>
      <c r="M195" s="170">
        <f>K195-L195</f>
        <v/>
      </c>
      <c r="N195" s="169" t="n"/>
      <c r="O195" s="164" t="n"/>
      <c r="P195" s="164" t="n"/>
    </row>
    <row r="196">
      <c r="A196" s="164" t="n"/>
      <c r="B196" s="164" t="n"/>
      <c r="C196" s="164" t="n"/>
      <c r="D196" s="164" t="n"/>
      <c r="E196" s="166" t="n"/>
      <c r="F196" s="166" t="n"/>
      <c r="G196" s="166" t="n"/>
      <c r="H196" s="167">
        <f>E196+F196+G196</f>
        <v/>
      </c>
      <c r="I196" s="168" t="n"/>
      <c r="J196" s="167">
        <f>H196*(1+I196)</f>
        <v/>
      </c>
      <c r="K196" s="169" t="n"/>
      <c r="L196" s="170">
        <f>SUMIFS('HISTORIQUE DOCS'!$H$4:$H$1000,'HISTORIQUE DOCS'!$F$4:$F$1000,A196,'HISTORIQUE DOCS'!$C$4:$C$1000,"FACTURE",'HISTORIQUE DOCS'!$P$4:$P$1000,"VALIDÉ")</f>
        <v/>
      </c>
      <c r="M196" s="170">
        <f>K196-L196</f>
        <v/>
      </c>
      <c r="N196" s="169" t="n"/>
      <c r="O196" s="164" t="n"/>
      <c r="P196" s="164" t="n"/>
    </row>
    <row r="197">
      <c r="A197" s="164" t="n"/>
      <c r="B197" s="164" t="n"/>
      <c r="C197" s="164" t="n"/>
      <c r="D197" s="164" t="n"/>
      <c r="E197" s="166" t="n"/>
      <c r="F197" s="166" t="n"/>
      <c r="G197" s="166" t="n"/>
      <c r="H197" s="167">
        <f>E197+F197+G197</f>
        <v/>
      </c>
      <c r="I197" s="168" t="n"/>
      <c r="J197" s="167">
        <f>H197*(1+I197)</f>
        <v/>
      </c>
      <c r="K197" s="169" t="n"/>
      <c r="L197" s="170">
        <f>SUMIFS('HISTORIQUE DOCS'!$H$4:$H$1000,'HISTORIQUE DOCS'!$F$4:$F$1000,A197,'HISTORIQUE DOCS'!$C$4:$C$1000,"FACTURE",'HISTORIQUE DOCS'!$P$4:$P$1000,"VALIDÉ")</f>
        <v/>
      </c>
      <c r="M197" s="170">
        <f>K197-L197</f>
        <v/>
      </c>
      <c r="N197" s="169" t="n"/>
      <c r="O197" s="164" t="n"/>
      <c r="P197" s="164" t="n"/>
    </row>
    <row r="198">
      <c r="A198" s="164" t="n"/>
      <c r="B198" s="164" t="n"/>
      <c r="C198" s="164" t="n"/>
      <c r="D198" s="164" t="n"/>
      <c r="E198" s="166" t="n"/>
      <c r="F198" s="166" t="n"/>
      <c r="G198" s="166" t="n"/>
      <c r="H198" s="167">
        <f>E198+F198+G198</f>
        <v/>
      </c>
      <c r="I198" s="168" t="n"/>
      <c r="J198" s="167">
        <f>H198*(1+I198)</f>
        <v/>
      </c>
      <c r="K198" s="169" t="n"/>
      <c r="L198" s="170">
        <f>SUMIFS('HISTORIQUE DOCS'!$H$4:$H$1000,'HISTORIQUE DOCS'!$F$4:$F$1000,A198,'HISTORIQUE DOCS'!$C$4:$C$1000,"FACTURE",'HISTORIQUE DOCS'!$P$4:$P$1000,"VALIDÉ")</f>
        <v/>
      </c>
      <c r="M198" s="170">
        <f>K198-L198</f>
        <v/>
      </c>
      <c r="N198" s="169" t="n"/>
      <c r="O198" s="164" t="n"/>
      <c r="P198" s="164" t="n"/>
    </row>
    <row r="199">
      <c r="A199" s="164" t="n"/>
      <c r="B199" s="164" t="n"/>
      <c r="C199" s="164" t="n"/>
      <c r="D199" s="164" t="n"/>
      <c r="E199" s="166" t="n"/>
      <c r="F199" s="166" t="n"/>
      <c r="G199" s="166" t="n"/>
      <c r="H199" s="167">
        <f>E199+F199+G199</f>
        <v/>
      </c>
      <c r="I199" s="168" t="n"/>
      <c r="J199" s="167">
        <f>H199*(1+I199)</f>
        <v/>
      </c>
      <c r="K199" s="169" t="n"/>
      <c r="L199" s="170">
        <f>SUMIFS('HISTORIQUE DOCS'!$H$4:$H$1000,'HISTORIQUE DOCS'!$F$4:$F$1000,A199,'HISTORIQUE DOCS'!$C$4:$C$1000,"FACTURE",'HISTORIQUE DOCS'!$P$4:$P$1000,"VALIDÉ")</f>
        <v/>
      </c>
      <c r="M199" s="170">
        <f>K199-L199</f>
        <v/>
      </c>
      <c r="N199" s="169" t="n"/>
      <c r="O199" s="164" t="n"/>
      <c r="P199" s="164" t="n"/>
    </row>
    <row r="200">
      <c r="A200" s="164" t="n"/>
      <c r="B200" s="164" t="n"/>
      <c r="C200" s="164" t="n"/>
      <c r="D200" s="164" t="n"/>
      <c r="E200" s="166" t="n"/>
      <c r="F200" s="166" t="n"/>
      <c r="G200" s="166" t="n"/>
      <c r="H200" s="167">
        <f>E200+F200+G200</f>
        <v/>
      </c>
      <c r="I200" s="168" t="n"/>
      <c r="J200" s="167">
        <f>H200*(1+I200)</f>
        <v/>
      </c>
      <c r="K200" s="169" t="n"/>
      <c r="L200" s="170">
        <f>SUMIFS('HISTORIQUE DOCS'!$H$4:$H$1000,'HISTORIQUE DOCS'!$F$4:$F$1000,A200,'HISTORIQUE DOCS'!$C$4:$C$1000,"FACTURE",'HISTORIQUE DOCS'!$P$4:$P$1000,"VALIDÉ")</f>
        <v/>
      </c>
      <c r="M200" s="170">
        <f>K200-L200</f>
        <v/>
      </c>
      <c r="N200" s="169" t="n"/>
      <c r="O200" s="164" t="n"/>
      <c r="P200" s="164" t="n"/>
    </row>
    <row r="201">
      <c r="A201" s="164" t="n"/>
      <c r="B201" s="164" t="n"/>
      <c r="C201" s="164" t="n"/>
      <c r="D201" s="164" t="n"/>
      <c r="E201" s="166" t="n"/>
      <c r="F201" s="166" t="n"/>
      <c r="G201" s="166" t="n"/>
      <c r="H201" s="167">
        <f>E201+F201+G201</f>
        <v/>
      </c>
      <c r="I201" s="168" t="n"/>
      <c r="J201" s="167">
        <f>H201*(1+I201)</f>
        <v/>
      </c>
      <c r="K201" s="169" t="n"/>
      <c r="L201" s="170">
        <f>SUMIFS('HISTORIQUE DOCS'!$H$4:$H$1000,'HISTORIQUE DOCS'!$F$4:$F$1000,A201,'HISTORIQUE DOCS'!$C$4:$C$1000,"FACTURE",'HISTORIQUE DOCS'!$P$4:$P$1000,"VALIDÉ")</f>
        <v/>
      </c>
      <c r="M201" s="170">
        <f>K201-L201</f>
        <v/>
      </c>
      <c r="N201" s="169" t="n"/>
      <c r="O201" s="164" t="n"/>
      <c r="P201" s="164" t="n"/>
    </row>
    <row r="202">
      <c r="A202" s="164" t="n"/>
      <c r="B202" s="164" t="n"/>
      <c r="C202" s="164" t="n"/>
      <c r="D202" s="164" t="n"/>
      <c r="E202" s="166" t="n"/>
      <c r="F202" s="166" t="n"/>
      <c r="G202" s="166" t="n"/>
      <c r="H202" s="167">
        <f>E202+F202+G202</f>
        <v/>
      </c>
      <c r="I202" s="168" t="n"/>
      <c r="J202" s="167">
        <f>H202*(1+I202)</f>
        <v/>
      </c>
      <c r="K202" s="169" t="n"/>
      <c r="L202" s="170">
        <f>SUMIFS('HISTORIQUE DOCS'!$H$4:$H$1000,'HISTORIQUE DOCS'!$F$4:$F$1000,A202,'HISTORIQUE DOCS'!$C$4:$C$1000,"FACTURE",'HISTORIQUE DOCS'!$P$4:$P$1000,"VALIDÉ")</f>
        <v/>
      </c>
      <c r="M202" s="170">
        <f>K202-L202</f>
        <v/>
      </c>
      <c r="N202" s="169" t="n"/>
      <c r="O202" s="164" t="n"/>
      <c r="P202" s="164" t="n"/>
    </row>
    <row r="203">
      <c r="A203" s="164" t="n"/>
      <c r="B203" s="164" t="n"/>
      <c r="C203" s="164" t="n"/>
      <c r="D203" s="164" t="n"/>
      <c r="E203" s="166" t="n"/>
      <c r="F203" s="166" t="n"/>
      <c r="G203" s="166" t="n"/>
      <c r="H203" s="167">
        <f>E203+F203+G203</f>
        <v/>
      </c>
      <c r="I203" s="168" t="n"/>
      <c r="J203" s="167">
        <f>H203*(1+I203)</f>
        <v/>
      </c>
      <c r="K203" s="169" t="n"/>
      <c r="L203" s="170">
        <f>SUMIFS('HISTORIQUE DOCS'!$H$4:$H$1000,'HISTORIQUE DOCS'!$F$4:$F$1000,A203,'HISTORIQUE DOCS'!$C$4:$C$1000,"FACTURE",'HISTORIQUE DOCS'!$P$4:$P$1000,"VALIDÉ")</f>
        <v/>
      </c>
      <c r="M203" s="170">
        <f>K203-L203</f>
        <v/>
      </c>
      <c r="N203" s="169" t="n"/>
      <c r="O203" s="164" t="n"/>
      <c r="P203" s="164" t="n"/>
    </row>
    <row r="204">
      <c r="A204" s="164" t="n"/>
      <c r="B204" s="164" t="n"/>
      <c r="C204" s="164" t="n"/>
      <c r="D204" s="164" t="n"/>
      <c r="E204" s="166" t="n"/>
      <c r="F204" s="166" t="n"/>
      <c r="G204" s="166" t="n"/>
      <c r="H204" s="167">
        <f>E204+F204+G204</f>
        <v/>
      </c>
      <c r="I204" s="168" t="n"/>
      <c r="J204" s="167">
        <f>H204*(1+I204)</f>
        <v/>
      </c>
      <c r="K204" s="169" t="n"/>
      <c r="L204" s="170">
        <f>SUMIFS('HISTORIQUE DOCS'!$H$4:$H$1000,'HISTORIQUE DOCS'!$F$4:$F$1000,A204,'HISTORIQUE DOCS'!$C$4:$C$1000,"FACTURE",'HISTORIQUE DOCS'!$P$4:$P$1000,"VALIDÉ")</f>
        <v/>
      </c>
      <c r="M204" s="170">
        <f>K204-L204</f>
        <v/>
      </c>
      <c r="N204" s="169" t="n"/>
      <c r="O204" s="164" t="n"/>
      <c r="P204" s="164" t="n"/>
    </row>
    <row r="205">
      <c r="A205" s="164" t="n"/>
      <c r="B205" s="164" t="n"/>
      <c r="C205" s="164" t="n"/>
      <c r="D205" s="164" t="n"/>
      <c r="E205" s="166" t="n"/>
      <c r="F205" s="166" t="n"/>
      <c r="G205" s="166" t="n"/>
      <c r="H205" s="167">
        <f>E205+F205+G205</f>
        <v/>
      </c>
      <c r="I205" s="168" t="n"/>
      <c r="J205" s="167">
        <f>H205*(1+I205)</f>
        <v/>
      </c>
      <c r="K205" s="169" t="n"/>
      <c r="L205" s="170">
        <f>SUMIFS('HISTORIQUE DOCS'!$H$4:$H$1000,'HISTORIQUE DOCS'!$F$4:$F$1000,A205,'HISTORIQUE DOCS'!$C$4:$C$1000,"FACTURE",'HISTORIQUE DOCS'!$P$4:$P$1000,"VALIDÉ")</f>
        <v/>
      </c>
      <c r="M205" s="170">
        <f>K205-L205</f>
        <v/>
      </c>
      <c r="N205" s="169" t="n"/>
      <c r="O205" s="164" t="n"/>
      <c r="P205" s="164" t="n"/>
    </row>
    <row r="206">
      <c r="A206" s="164" t="n"/>
      <c r="B206" s="164" t="n"/>
      <c r="C206" s="164" t="n"/>
      <c r="D206" s="164" t="n"/>
      <c r="E206" s="166" t="n"/>
      <c r="F206" s="166" t="n"/>
      <c r="G206" s="166" t="n"/>
      <c r="H206" s="167">
        <f>E206+F206+G206</f>
        <v/>
      </c>
      <c r="I206" s="168" t="n"/>
      <c r="J206" s="167">
        <f>H206*(1+I206)</f>
        <v/>
      </c>
      <c r="K206" s="169" t="n"/>
      <c r="L206" s="170">
        <f>SUMIFS('HISTORIQUE DOCS'!$H$4:$H$1000,'HISTORIQUE DOCS'!$F$4:$F$1000,A206,'HISTORIQUE DOCS'!$C$4:$C$1000,"FACTURE",'HISTORIQUE DOCS'!$P$4:$P$1000,"VALIDÉ")</f>
        <v/>
      </c>
      <c r="M206" s="170">
        <f>K206-L206</f>
        <v/>
      </c>
      <c r="N206" s="169" t="n"/>
      <c r="O206" s="164" t="n"/>
      <c r="P206" s="164" t="n"/>
    </row>
    <row r="207">
      <c r="A207" s="164" t="n"/>
      <c r="B207" s="164" t="n"/>
      <c r="C207" s="164" t="n"/>
      <c r="D207" s="164" t="n"/>
      <c r="E207" s="166" t="n"/>
      <c r="F207" s="166" t="n"/>
      <c r="G207" s="166" t="n"/>
      <c r="H207" s="167">
        <f>E207+F207+G207</f>
        <v/>
      </c>
      <c r="I207" s="168" t="n"/>
      <c r="J207" s="167">
        <f>H207*(1+I207)</f>
        <v/>
      </c>
      <c r="K207" s="169" t="n"/>
      <c r="L207" s="170">
        <f>SUMIFS('HISTORIQUE DOCS'!$H$4:$H$1000,'HISTORIQUE DOCS'!$F$4:$F$1000,A207,'HISTORIQUE DOCS'!$C$4:$C$1000,"FACTURE",'HISTORIQUE DOCS'!$P$4:$P$1000,"VALIDÉ")</f>
        <v/>
      </c>
      <c r="M207" s="170">
        <f>K207-L207</f>
        <v/>
      </c>
      <c r="N207" s="169" t="n"/>
      <c r="O207" s="164" t="n"/>
      <c r="P207" s="164" t="n"/>
    </row>
    <row r="208">
      <c r="A208" s="164" t="n"/>
      <c r="B208" s="164" t="n"/>
      <c r="C208" s="164" t="n"/>
      <c r="D208" s="164" t="n"/>
      <c r="E208" s="166" t="n"/>
      <c r="F208" s="166" t="n"/>
      <c r="G208" s="166" t="n"/>
      <c r="H208" s="167">
        <f>E208+F208+G208</f>
        <v/>
      </c>
      <c r="I208" s="168" t="n"/>
      <c r="J208" s="167">
        <f>H208*(1+I208)</f>
        <v/>
      </c>
      <c r="K208" s="169" t="n"/>
      <c r="L208" s="170">
        <f>SUMIFS('HISTORIQUE DOCS'!$H$4:$H$1000,'HISTORIQUE DOCS'!$F$4:$F$1000,A208,'HISTORIQUE DOCS'!$C$4:$C$1000,"FACTURE",'HISTORIQUE DOCS'!$P$4:$P$1000,"VALIDÉ")</f>
        <v/>
      </c>
      <c r="M208" s="170">
        <f>K208-L208</f>
        <v/>
      </c>
      <c r="N208" s="169" t="n"/>
      <c r="O208" s="164" t="n"/>
      <c r="P208" s="164" t="n"/>
    </row>
    <row r="209">
      <c r="A209" s="164" t="n"/>
      <c r="B209" s="164" t="n"/>
      <c r="C209" s="164" t="n"/>
      <c r="D209" s="164" t="n"/>
      <c r="E209" s="166" t="n"/>
      <c r="F209" s="166" t="n"/>
      <c r="G209" s="166" t="n"/>
      <c r="H209" s="167">
        <f>E209+F209+G209</f>
        <v/>
      </c>
      <c r="I209" s="168" t="n"/>
      <c r="J209" s="167">
        <f>H209*(1+I209)</f>
        <v/>
      </c>
      <c r="K209" s="169" t="n"/>
      <c r="L209" s="170">
        <f>SUMIFS('HISTORIQUE DOCS'!$H$4:$H$1000,'HISTORIQUE DOCS'!$F$4:$F$1000,A209,'HISTORIQUE DOCS'!$C$4:$C$1000,"FACTURE",'HISTORIQUE DOCS'!$P$4:$P$1000,"VALIDÉ")</f>
        <v/>
      </c>
      <c r="M209" s="170">
        <f>K209-L209</f>
        <v/>
      </c>
      <c r="N209" s="169" t="n"/>
      <c r="O209" s="164" t="n"/>
      <c r="P209" s="164" t="n"/>
    </row>
    <row r="210">
      <c r="A210" s="164" t="n"/>
      <c r="B210" s="164" t="n"/>
      <c r="C210" s="164" t="n"/>
      <c r="D210" s="164" t="n"/>
      <c r="E210" s="166" t="n"/>
      <c r="F210" s="166" t="n"/>
      <c r="G210" s="166" t="n"/>
      <c r="H210" s="167">
        <f>E210+F210+G210</f>
        <v/>
      </c>
      <c r="I210" s="168" t="n"/>
      <c r="J210" s="167">
        <f>H210*(1+I210)</f>
        <v/>
      </c>
      <c r="K210" s="169" t="n"/>
      <c r="L210" s="170">
        <f>SUMIFS('HISTORIQUE DOCS'!$H$4:$H$1000,'HISTORIQUE DOCS'!$F$4:$F$1000,A210,'HISTORIQUE DOCS'!$C$4:$C$1000,"FACTURE",'HISTORIQUE DOCS'!$P$4:$P$1000,"VALIDÉ")</f>
        <v/>
      </c>
      <c r="M210" s="170">
        <f>K210-L210</f>
        <v/>
      </c>
      <c r="N210" s="169" t="n"/>
      <c r="O210" s="164" t="n"/>
      <c r="P210" s="164" t="n"/>
    </row>
    <row r="211">
      <c r="A211" s="164" t="n"/>
      <c r="B211" s="164" t="n"/>
      <c r="C211" s="164" t="n"/>
      <c r="D211" s="164" t="n"/>
      <c r="E211" s="166" t="n"/>
      <c r="F211" s="166" t="n"/>
      <c r="G211" s="166" t="n"/>
      <c r="H211" s="167">
        <f>E211+F211+G211</f>
        <v/>
      </c>
      <c r="I211" s="168" t="n"/>
      <c r="J211" s="167">
        <f>H211*(1+I211)</f>
        <v/>
      </c>
      <c r="K211" s="169" t="n"/>
      <c r="L211" s="170">
        <f>SUMIFS('HISTORIQUE DOCS'!$H$4:$H$1000,'HISTORIQUE DOCS'!$F$4:$F$1000,A211,'HISTORIQUE DOCS'!$C$4:$C$1000,"FACTURE",'HISTORIQUE DOCS'!$P$4:$P$1000,"VALIDÉ")</f>
        <v/>
      </c>
      <c r="M211" s="170">
        <f>K211-L211</f>
        <v/>
      </c>
      <c r="N211" s="169" t="n"/>
      <c r="O211" s="164" t="n"/>
      <c r="P211" s="164" t="n"/>
    </row>
    <row r="212">
      <c r="A212" s="164" t="n"/>
      <c r="B212" s="164" t="n"/>
      <c r="C212" s="164" t="n"/>
      <c r="D212" s="164" t="n"/>
      <c r="E212" s="166" t="n"/>
      <c r="F212" s="166" t="n"/>
      <c r="G212" s="166" t="n"/>
      <c r="H212" s="167">
        <f>E212+F212+G212</f>
        <v/>
      </c>
      <c r="I212" s="168" t="n"/>
      <c r="J212" s="167">
        <f>H212*(1+I212)</f>
        <v/>
      </c>
      <c r="K212" s="169" t="n"/>
      <c r="L212" s="170">
        <f>SUMIFS('HISTORIQUE DOCS'!$H$4:$H$1000,'HISTORIQUE DOCS'!$F$4:$F$1000,A212,'HISTORIQUE DOCS'!$C$4:$C$1000,"FACTURE",'HISTORIQUE DOCS'!$P$4:$P$1000,"VALIDÉ")</f>
        <v/>
      </c>
      <c r="M212" s="170">
        <f>K212-L212</f>
        <v/>
      </c>
      <c r="N212" s="169" t="n"/>
      <c r="O212" s="164" t="n"/>
      <c r="P212" s="164" t="n"/>
    </row>
    <row r="213">
      <c r="A213" s="164" t="n"/>
      <c r="B213" s="164" t="n"/>
      <c r="C213" s="164" t="n"/>
      <c r="D213" s="164" t="n"/>
      <c r="E213" s="166" t="n"/>
      <c r="F213" s="166" t="n"/>
      <c r="G213" s="166" t="n"/>
      <c r="H213" s="167">
        <f>E213+F213+G213</f>
        <v/>
      </c>
      <c r="I213" s="168" t="n"/>
      <c r="J213" s="167">
        <f>H213*(1+I213)</f>
        <v/>
      </c>
      <c r="K213" s="169" t="n"/>
      <c r="L213" s="170">
        <f>SUMIFS('HISTORIQUE DOCS'!$H$4:$H$1000,'HISTORIQUE DOCS'!$F$4:$F$1000,A213,'HISTORIQUE DOCS'!$C$4:$C$1000,"FACTURE",'HISTORIQUE DOCS'!$P$4:$P$1000,"VALIDÉ")</f>
        <v/>
      </c>
      <c r="M213" s="170">
        <f>K213-L213</f>
        <v/>
      </c>
      <c r="N213" s="169" t="n"/>
      <c r="O213" s="164" t="n"/>
      <c r="P213" s="164" t="n"/>
    </row>
    <row r="214">
      <c r="A214" s="164" t="n"/>
      <c r="B214" s="164" t="n"/>
      <c r="C214" s="164" t="n"/>
      <c r="D214" s="164" t="n"/>
      <c r="E214" s="166" t="n"/>
      <c r="F214" s="166" t="n"/>
      <c r="G214" s="166" t="n"/>
      <c r="H214" s="167">
        <f>E214+F214+G214</f>
        <v/>
      </c>
      <c r="I214" s="168" t="n"/>
      <c r="J214" s="167">
        <f>H214*(1+I214)</f>
        <v/>
      </c>
      <c r="K214" s="169" t="n"/>
      <c r="L214" s="170">
        <f>SUMIFS('HISTORIQUE DOCS'!$H$4:$H$1000,'HISTORIQUE DOCS'!$F$4:$F$1000,A214,'HISTORIQUE DOCS'!$C$4:$C$1000,"FACTURE",'HISTORIQUE DOCS'!$P$4:$P$1000,"VALIDÉ")</f>
        <v/>
      </c>
      <c r="M214" s="170">
        <f>K214-L214</f>
        <v/>
      </c>
      <c r="N214" s="169" t="n"/>
      <c r="O214" s="164" t="n"/>
      <c r="P214" s="164" t="n"/>
    </row>
    <row r="215">
      <c r="A215" s="164" t="n"/>
      <c r="B215" s="164" t="n"/>
      <c r="C215" s="164" t="n"/>
      <c r="D215" s="164" t="n"/>
      <c r="E215" s="166" t="n"/>
      <c r="F215" s="166" t="n"/>
      <c r="G215" s="166" t="n"/>
      <c r="H215" s="167">
        <f>E215+F215+G215</f>
        <v/>
      </c>
      <c r="I215" s="168" t="n"/>
      <c r="J215" s="167">
        <f>H215*(1+I215)</f>
        <v/>
      </c>
      <c r="K215" s="169" t="n"/>
      <c r="L215" s="170">
        <f>SUMIFS('HISTORIQUE DOCS'!$H$4:$H$1000,'HISTORIQUE DOCS'!$F$4:$F$1000,A215,'HISTORIQUE DOCS'!$C$4:$C$1000,"FACTURE",'HISTORIQUE DOCS'!$P$4:$P$1000,"VALIDÉ")</f>
        <v/>
      </c>
      <c r="M215" s="170">
        <f>K215-L215</f>
        <v/>
      </c>
      <c r="N215" s="169" t="n"/>
      <c r="O215" s="164" t="n"/>
      <c r="P215" s="164" t="n"/>
    </row>
    <row r="216">
      <c r="A216" s="164" t="n"/>
      <c r="B216" s="164" t="n"/>
      <c r="C216" s="164" t="n"/>
      <c r="D216" s="164" t="n"/>
      <c r="E216" s="166" t="n"/>
      <c r="F216" s="166" t="n"/>
      <c r="G216" s="166" t="n"/>
      <c r="H216" s="167">
        <f>E216+F216+G216</f>
        <v/>
      </c>
      <c r="I216" s="168" t="n"/>
      <c r="J216" s="167">
        <f>H216*(1+I216)</f>
        <v/>
      </c>
      <c r="K216" s="169" t="n"/>
      <c r="L216" s="170">
        <f>SUMIFS('HISTORIQUE DOCS'!$H$4:$H$1000,'HISTORIQUE DOCS'!$F$4:$F$1000,A216,'HISTORIQUE DOCS'!$C$4:$C$1000,"FACTURE",'HISTORIQUE DOCS'!$P$4:$P$1000,"VALIDÉ")</f>
        <v/>
      </c>
      <c r="M216" s="170">
        <f>K216-L216</f>
        <v/>
      </c>
      <c r="N216" s="169" t="n"/>
      <c r="O216" s="164" t="n"/>
      <c r="P216" s="164" t="n"/>
    </row>
    <row r="217">
      <c r="A217" s="164" t="n"/>
      <c r="B217" s="164" t="n"/>
      <c r="C217" s="164" t="n"/>
      <c r="D217" s="164" t="n"/>
      <c r="E217" s="166" t="n"/>
      <c r="F217" s="166" t="n"/>
      <c r="G217" s="166" t="n"/>
      <c r="H217" s="167">
        <f>E217+F217+G217</f>
        <v/>
      </c>
      <c r="I217" s="168" t="n"/>
      <c r="J217" s="167">
        <f>H217*(1+I217)</f>
        <v/>
      </c>
      <c r="K217" s="169" t="n"/>
      <c r="L217" s="170">
        <f>SUMIFS('HISTORIQUE DOCS'!$H$4:$H$1000,'HISTORIQUE DOCS'!$F$4:$F$1000,A217,'HISTORIQUE DOCS'!$C$4:$C$1000,"FACTURE",'HISTORIQUE DOCS'!$P$4:$P$1000,"VALIDÉ")</f>
        <v/>
      </c>
      <c r="M217" s="170">
        <f>K217-L217</f>
        <v/>
      </c>
      <c r="N217" s="169" t="n"/>
      <c r="O217" s="164" t="n"/>
      <c r="P217" s="164" t="n"/>
    </row>
    <row r="218">
      <c r="A218" s="164" t="n"/>
      <c r="B218" s="164" t="n"/>
      <c r="C218" s="164" t="n"/>
      <c r="D218" s="164" t="n"/>
      <c r="E218" s="166" t="n"/>
      <c r="F218" s="166" t="n"/>
      <c r="G218" s="166" t="n"/>
      <c r="H218" s="167">
        <f>E218+F218+G218</f>
        <v/>
      </c>
      <c r="I218" s="168" t="n"/>
      <c r="J218" s="167">
        <f>H218*(1+I218)</f>
        <v/>
      </c>
      <c r="K218" s="169" t="n"/>
      <c r="L218" s="170">
        <f>SUMIFS('HISTORIQUE DOCS'!$H$4:$H$1000,'HISTORIQUE DOCS'!$F$4:$F$1000,A218,'HISTORIQUE DOCS'!$C$4:$C$1000,"FACTURE",'HISTORIQUE DOCS'!$P$4:$P$1000,"VALIDÉ")</f>
        <v/>
      </c>
      <c r="M218" s="170">
        <f>K218-L218</f>
        <v/>
      </c>
      <c r="N218" s="169" t="n"/>
      <c r="O218" s="164" t="n"/>
      <c r="P218" s="164" t="n"/>
    </row>
    <row r="219">
      <c r="A219" s="164" t="n"/>
      <c r="B219" s="164" t="n"/>
      <c r="C219" s="164" t="n"/>
      <c r="D219" s="164" t="n"/>
      <c r="E219" s="166" t="n"/>
      <c r="F219" s="166" t="n"/>
      <c r="G219" s="166" t="n"/>
      <c r="H219" s="167">
        <f>E219+F219+G219</f>
        <v/>
      </c>
      <c r="I219" s="168" t="n"/>
      <c r="J219" s="167">
        <f>H219*(1+I219)</f>
        <v/>
      </c>
      <c r="K219" s="169" t="n"/>
      <c r="L219" s="170">
        <f>SUMIFS('HISTORIQUE DOCS'!$H$4:$H$1000,'HISTORIQUE DOCS'!$F$4:$F$1000,A219,'HISTORIQUE DOCS'!$C$4:$C$1000,"FACTURE",'HISTORIQUE DOCS'!$P$4:$P$1000,"VALIDÉ")</f>
        <v/>
      </c>
      <c r="M219" s="170">
        <f>K219-L219</f>
        <v/>
      </c>
      <c r="N219" s="169" t="n"/>
      <c r="O219" s="164" t="n"/>
      <c r="P219" s="164" t="n"/>
    </row>
    <row r="220">
      <c r="A220" s="164" t="n"/>
      <c r="B220" s="164" t="n"/>
      <c r="C220" s="164" t="n"/>
      <c r="D220" s="164" t="n"/>
      <c r="E220" s="166" t="n"/>
      <c r="F220" s="166" t="n"/>
      <c r="G220" s="166" t="n"/>
      <c r="H220" s="167">
        <f>E220+F220+G220</f>
        <v/>
      </c>
      <c r="I220" s="168" t="n"/>
      <c r="J220" s="167">
        <f>H220*(1+I220)</f>
        <v/>
      </c>
      <c r="K220" s="169" t="n"/>
      <c r="L220" s="170">
        <f>SUMIFS('HISTORIQUE DOCS'!$H$4:$H$1000,'HISTORIQUE DOCS'!$F$4:$F$1000,A220,'HISTORIQUE DOCS'!$C$4:$C$1000,"FACTURE",'HISTORIQUE DOCS'!$P$4:$P$1000,"VALIDÉ")</f>
        <v/>
      </c>
      <c r="M220" s="170">
        <f>K220-L220</f>
        <v/>
      </c>
      <c r="N220" s="169" t="n"/>
      <c r="O220" s="164" t="n"/>
      <c r="P220" s="164" t="n"/>
    </row>
    <row r="221">
      <c r="A221" s="164" t="n"/>
      <c r="B221" s="164" t="n"/>
      <c r="C221" s="164" t="n"/>
      <c r="D221" s="164" t="n"/>
      <c r="E221" s="166" t="n"/>
      <c r="F221" s="166" t="n"/>
      <c r="G221" s="166" t="n"/>
      <c r="H221" s="167">
        <f>E221+F221+G221</f>
        <v/>
      </c>
      <c r="I221" s="168" t="n"/>
      <c r="J221" s="167">
        <f>H221*(1+I221)</f>
        <v/>
      </c>
      <c r="K221" s="169" t="n"/>
      <c r="L221" s="170">
        <f>SUMIFS('HISTORIQUE DOCS'!$H$4:$H$1000,'HISTORIQUE DOCS'!$F$4:$F$1000,A221,'HISTORIQUE DOCS'!$C$4:$C$1000,"FACTURE",'HISTORIQUE DOCS'!$P$4:$P$1000,"VALIDÉ")</f>
        <v/>
      </c>
      <c r="M221" s="170">
        <f>K221-L221</f>
        <v/>
      </c>
      <c r="N221" s="169" t="n"/>
      <c r="O221" s="164" t="n"/>
      <c r="P221" s="164" t="n"/>
    </row>
    <row r="222">
      <c r="A222" s="164" t="n"/>
      <c r="B222" s="164" t="n"/>
      <c r="C222" s="164" t="n"/>
      <c r="D222" s="164" t="n"/>
      <c r="E222" s="166" t="n"/>
      <c r="F222" s="166" t="n"/>
      <c r="G222" s="166" t="n"/>
      <c r="H222" s="167">
        <f>E222+F222+G222</f>
        <v/>
      </c>
      <c r="I222" s="168" t="n"/>
      <c r="J222" s="167">
        <f>H222*(1+I222)</f>
        <v/>
      </c>
      <c r="K222" s="169" t="n"/>
      <c r="L222" s="170">
        <f>SUMIFS('HISTORIQUE DOCS'!$H$4:$H$1000,'HISTORIQUE DOCS'!$F$4:$F$1000,A222,'HISTORIQUE DOCS'!$C$4:$C$1000,"FACTURE",'HISTORIQUE DOCS'!$P$4:$P$1000,"VALIDÉ")</f>
        <v/>
      </c>
      <c r="M222" s="170">
        <f>K222-L222</f>
        <v/>
      </c>
      <c r="N222" s="169" t="n"/>
      <c r="O222" s="164" t="n"/>
      <c r="P222" s="164" t="n"/>
    </row>
    <row r="223">
      <c r="A223" s="164" t="n"/>
      <c r="B223" s="164" t="n"/>
      <c r="C223" s="164" t="n"/>
      <c r="D223" s="164" t="n"/>
      <c r="E223" s="166" t="n"/>
      <c r="F223" s="166" t="n"/>
      <c r="G223" s="166" t="n"/>
      <c r="H223" s="167">
        <f>E223+F223+G223</f>
        <v/>
      </c>
      <c r="I223" s="168" t="n"/>
      <c r="J223" s="167">
        <f>H223*(1+I223)</f>
        <v/>
      </c>
      <c r="K223" s="169" t="n"/>
      <c r="L223" s="170">
        <f>SUMIFS('HISTORIQUE DOCS'!$H$4:$H$1000,'HISTORIQUE DOCS'!$F$4:$F$1000,A223,'HISTORIQUE DOCS'!$C$4:$C$1000,"FACTURE",'HISTORIQUE DOCS'!$P$4:$P$1000,"VALIDÉ")</f>
        <v/>
      </c>
      <c r="M223" s="170">
        <f>K223-L223</f>
        <v/>
      </c>
      <c r="N223" s="169" t="n"/>
      <c r="O223" s="164" t="n"/>
      <c r="P223" s="164" t="n"/>
    </row>
    <row r="224">
      <c r="A224" s="164" t="n"/>
      <c r="B224" s="164" t="n"/>
      <c r="C224" s="164" t="n"/>
      <c r="D224" s="164" t="n"/>
      <c r="E224" s="166" t="n"/>
      <c r="F224" s="166" t="n"/>
      <c r="G224" s="166" t="n"/>
      <c r="H224" s="167">
        <f>E224+F224+G224</f>
        <v/>
      </c>
      <c r="I224" s="168" t="n"/>
      <c r="J224" s="167">
        <f>H224*(1+I224)</f>
        <v/>
      </c>
      <c r="K224" s="169" t="n"/>
      <c r="L224" s="170">
        <f>SUMIFS('HISTORIQUE DOCS'!$H$4:$H$1000,'HISTORIQUE DOCS'!$F$4:$F$1000,A224,'HISTORIQUE DOCS'!$C$4:$C$1000,"FACTURE",'HISTORIQUE DOCS'!$P$4:$P$1000,"VALIDÉ")</f>
        <v/>
      </c>
      <c r="M224" s="170">
        <f>K224-L224</f>
        <v/>
      </c>
      <c r="N224" s="169" t="n"/>
      <c r="O224" s="164" t="n"/>
      <c r="P224" s="164" t="n"/>
    </row>
    <row r="225">
      <c r="A225" s="164" t="n"/>
      <c r="B225" s="164" t="n"/>
      <c r="C225" s="164" t="n"/>
      <c r="D225" s="164" t="n"/>
      <c r="E225" s="166" t="n"/>
      <c r="F225" s="166" t="n"/>
      <c r="G225" s="166" t="n"/>
      <c r="H225" s="167">
        <f>E225+F225+G225</f>
        <v/>
      </c>
      <c r="I225" s="168" t="n"/>
      <c r="J225" s="167">
        <f>H225*(1+I225)</f>
        <v/>
      </c>
      <c r="K225" s="169" t="n"/>
      <c r="L225" s="170">
        <f>SUMIFS('HISTORIQUE DOCS'!$H$4:$H$1000,'HISTORIQUE DOCS'!$F$4:$F$1000,A225,'HISTORIQUE DOCS'!$C$4:$C$1000,"FACTURE",'HISTORIQUE DOCS'!$P$4:$P$1000,"VALIDÉ")</f>
        <v/>
      </c>
      <c r="M225" s="170">
        <f>K225-L225</f>
        <v/>
      </c>
      <c r="N225" s="169" t="n"/>
      <c r="O225" s="164" t="n"/>
      <c r="P225" s="164" t="n"/>
    </row>
    <row r="226">
      <c r="A226" s="164" t="n"/>
      <c r="B226" s="164" t="n"/>
      <c r="C226" s="164" t="n"/>
      <c r="D226" s="164" t="n"/>
      <c r="E226" s="166" t="n"/>
      <c r="F226" s="166" t="n"/>
      <c r="G226" s="166" t="n"/>
      <c r="H226" s="167">
        <f>E226+F226+G226</f>
        <v/>
      </c>
      <c r="I226" s="168" t="n"/>
      <c r="J226" s="167">
        <f>H226*(1+I226)</f>
        <v/>
      </c>
      <c r="K226" s="169" t="n"/>
      <c r="L226" s="170">
        <f>SUMIFS('HISTORIQUE DOCS'!$H$4:$H$1000,'HISTORIQUE DOCS'!$F$4:$F$1000,A226,'HISTORIQUE DOCS'!$C$4:$C$1000,"FACTURE",'HISTORIQUE DOCS'!$P$4:$P$1000,"VALIDÉ")</f>
        <v/>
      </c>
      <c r="M226" s="170">
        <f>K226-L226</f>
        <v/>
      </c>
      <c r="N226" s="169" t="n"/>
      <c r="O226" s="164" t="n"/>
      <c r="P226" s="164" t="n"/>
    </row>
    <row r="227">
      <c r="A227" s="164" t="n"/>
      <c r="B227" s="164" t="n"/>
      <c r="C227" s="164" t="n"/>
      <c r="D227" s="164" t="n"/>
      <c r="E227" s="166" t="n"/>
      <c r="F227" s="166" t="n"/>
      <c r="G227" s="166" t="n"/>
      <c r="H227" s="167">
        <f>E227+F227+G227</f>
        <v/>
      </c>
      <c r="I227" s="168" t="n"/>
      <c r="J227" s="167">
        <f>H227*(1+I227)</f>
        <v/>
      </c>
      <c r="K227" s="169" t="n"/>
      <c r="L227" s="170">
        <f>SUMIFS('HISTORIQUE DOCS'!$H$4:$H$1000,'HISTORIQUE DOCS'!$F$4:$F$1000,A227,'HISTORIQUE DOCS'!$C$4:$C$1000,"FACTURE",'HISTORIQUE DOCS'!$P$4:$P$1000,"VALIDÉ")</f>
        <v/>
      </c>
      <c r="M227" s="170">
        <f>K227-L227</f>
        <v/>
      </c>
      <c r="N227" s="169" t="n"/>
      <c r="O227" s="164" t="n"/>
      <c r="P227" s="164" t="n"/>
    </row>
    <row r="228">
      <c r="A228" s="164" t="n"/>
      <c r="B228" s="164" t="n"/>
      <c r="C228" s="164" t="n"/>
      <c r="D228" s="164" t="n"/>
      <c r="E228" s="166" t="n"/>
      <c r="F228" s="166" t="n"/>
      <c r="G228" s="166" t="n"/>
      <c r="H228" s="167">
        <f>E228+F228+G228</f>
        <v/>
      </c>
      <c r="I228" s="168" t="n"/>
      <c r="J228" s="167">
        <f>H228*(1+I228)</f>
        <v/>
      </c>
      <c r="K228" s="169" t="n"/>
      <c r="L228" s="170">
        <f>SUMIFS('HISTORIQUE DOCS'!$H$4:$H$1000,'HISTORIQUE DOCS'!$F$4:$F$1000,A228,'HISTORIQUE DOCS'!$C$4:$C$1000,"FACTURE",'HISTORIQUE DOCS'!$P$4:$P$1000,"VALIDÉ")</f>
        <v/>
      </c>
      <c r="M228" s="170">
        <f>K228-L228</f>
        <v/>
      </c>
      <c r="N228" s="169" t="n"/>
      <c r="O228" s="164" t="n"/>
      <c r="P228" s="164" t="n"/>
    </row>
    <row r="229">
      <c r="A229" s="164" t="n"/>
      <c r="B229" s="164" t="n"/>
      <c r="C229" s="164" t="n"/>
      <c r="D229" s="164" t="n"/>
      <c r="E229" s="166" t="n"/>
      <c r="F229" s="166" t="n"/>
      <c r="G229" s="166" t="n"/>
      <c r="H229" s="167">
        <f>E229+F229+G229</f>
        <v/>
      </c>
      <c r="I229" s="168" t="n"/>
      <c r="J229" s="167">
        <f>H229*(1+I229)</f>
        <v/>
      </c>
      <c r="K229" s="169" t="n"/>
      <c r="L229" s="170">
        <f>SUMIFS('HISTORIQUE DOCS'!$H$4:$H$1000,'HISTORIQUE DOCS'!$F$4:$F$1000,A229,'HISTORIQUE DOCS'!$C$4:$C$1000,"FACTURE",'HISTORIQUE DOCS'!$P$4:$P$1000,"VALIDÉ")</f>
        <v/>
      </c>
      <c r="M229" s="170">
        <f>K229-L229</f>
        <v/>
      </c>
      <c r="N229" s="169" t="n"/>
      <c r="O229" s="164" t="n"/>
      <c r="P229" s="164" t="n"/>
    </row>
    <row r="230">
      <c r="A230" s="164" t="n"/>
      <c r="B230" s="164" t="n"/>
      <c r="C230" s="164" t="n"/>
      <c r="D230" s="164" t="n"/>
      <c r="E230" s="166" t="n"/>
      <c r="F230" s="166" t="n"/>
      <c r="G230" s="166" t="n"/>
      <c r="H230" s="167">
        <f>E230+F230+G230</f>
        <v/>
      </c>
      <c r="I230" s="168" t="n"/>
      <c r="J230" s="167">
        <f>H230*(1+I230)</f>
        <v/>
      </c>
      <c r="K230" s="169" t="n"/>
      <c r="L230" s="170">
        <f>SUMIFS('HISTORIQUE DOCS'!$H$4:$H$1000,'HISTORIQUE DOCS'!$F$4:$F$1000,A230,'HISTORIQUE DOCS'!$C$4:$C$1000,"FACTURE",'HISTORIQUE DOCS'!$P$4:$P$1000,"VALIDÉ")</f>
        <v/>
      </c>
      <c r="M230" s="170">
        <f>K230-L230</f>
        <v/>
      </c>
      <c r="N230" s="169" t="n"/>
      <c r="O230" s="164" t="n"/>
      <c r="P230" s="164" t="n"/>
    </row>
    <row r="231">
      <c r="A231" s="164" t="n"/>
      <c r="B231" s="164" t="n"/>
      <c r="C231" s="164" t="n"/>
      <c r="D231" s="164" t="n"/>
      <c r="E231" s="166" t="n"/>
      <c r="F231" s="166" t="n"/>
      <c r="G231" s="166" t="n"/>
      <c r="H231" s="167">
        <f>E231+F231+G231</f>
        <v/>
      </c>
      <c r="I231" s="168" t="n"/>
      <c r="J231" s="167">
        <f>H231*(1+I231)</f>
        <v/>
      </c>
      <c r="K231" s="169" t="n"/>
      <c r="L231" s="170">
        <f>SUMIFS('HISTORIQUE DOCS'!$H$4:$H$1000,'HISTORIQUE DOCS'!$F$4:$F$1000,A231,'HISTORIQUE DOCS'!$C$4:$C$1000,"FACTURE",'HISTORIQUE DOCS'!$P$4:$P$1000,"VALIDÉ")</f>
        <v/>
      </c>
      <c r="M231" s="170">
        <f>K231-L231</f>
        <v/>
      </c>
      <c r="N231" s="169" t="n"/>
      <c r="O231" s="164" t="n"/>
      <c r="P231" s="164" t="n"/>
    </row>
    <row r="232">
      <c r="A232" s="164" t="n"/>
      <c r="B232" s="164" t="n"/>
      <c r="C232" s="164" t="n"/>
      <c r="D232" s="164" t="n"/>
      <c r="E232" s="166" t="n"/>
      <c r="F232" s="166" t="n"/>
      <c r="G232" s="166" t="n"/>
      <c r="H232" s="167">
        <f>E232+F232+G232</f>
        <v/>
      </c>
      <c r="I232" s="168" t="n"/>
      <c r="J232" s="167">
        <f>H232*(1+I232)</f>
        <v/>
      </c>
      <c r="K232" s="169" t="n"/>
      <c r="L232" s="170">
        <f>SUMIFS('HISTORIQUE DOCS'!$H$4:$H$1000,'HISTORIQUE DOCS'!$F$4:$F$1000,A232,'HISTORIQUE DOCS'!$C$4:$C$1000,"FACTURE",'HISTORIQUE DOCS'!$P$4:$P$1000,"VALIDÉ")</f>
        <v/>
      </c>
      <c r="M232" s="170">
        <f>K232-L232</f>
        <v/>
      </c>
      <c r="N232" s="169" t="n"/>
      <c r="O232" s="164" t="n"/>
      <c r="P232" s="164" t="n"/>
    </row>
    <row r="233">
      <c r="A233" s="164" t="n"/>
      <c r="B233" s="164" t="n"/>
      <c r="C233" s="164" t="n"/>
      <c r="D233" s="164" t="n"/>
      <c r="E233" s="166" t="n"/>
      <c r="F233" s="166" t="n"/>
      <c r="G233" s="166" t="n"/>
      <c r="H233" s="167">
        <f>E233+F233+G233</f>
        <v/>
      </c>
      <c r="I233" s="168" t="n"/>
      <c r="J233" s="167">
        <f>H233*(1+I233)</f>
        <v/>
      </c>
      <c r="K233" s="169" t="n"/>
      <c r="L233" s="170">
        <f>SUMIFS('HISTORIQUE DOCS'!$H$4:$H$1000,'HISTORIQUE DOCS'!$F$4:$F$1000,A233,'HISTORIQUE DOCS'!$C$4:$C$1000,"FACTURE",'HISTORIQUE DOCS'!$P$4:$P$1000,"VALIDÉ")</f>
        <v/>
      </c>
      <c r="M233" s="170">
        <f>K233-L233</f>
        <v/>
      </c>
      <c r="N233" s="169" t="n"/>
      <c r="O233" s="164" t="n"/>
      <c r="P233" s="164" t="n"/>
    </row>
    <row r="234">
      <c r="A234" s="164" t="n"/>
      <c r="B234" s="164" t="n"/>
      <c r="C234" s="164" t="n"/>
      <c r="D234" s="164" t="n"/>
      <c r="E234" s="166" t="n"/>
      <c r="F234" s="166" t="n"/>
      <c r="G234" s="166" t="n"/>
      <c r="H234" s="167">
        <f>E234+F234+G234</f>
        <v/>
      </c>
      <c r="I234" s="168" t="n"/>
      <c r="J234" s="167">
        <f>H234*(1+I234)</f>
        <v/>
      </c>
      <c r="K234" s="169" t="n"/>
      <c r="L234" s="170">
        <f>SUMIFS('HISTORIQUE DOCS'!$H$4:$H$1000,'HISTORIQUE DOCS'!$F$4:$F$1000,A234,'HISTORIQUE DOCS'!$C$4:$C$1000,"FACTURE",'HISTORIQUE DOCS'!$P$4:$P$1000,"VALIDÉ")</f>
        <v/>
      </c>
      <c r="M234" s="170">
        <f>K234-L234</f>
        <v/>
      </c>
      <c r="N234" s="169" t="n"/>
      <c r="O234" s="164" t="n"/>
      <c r="P234" s="164" t="n"/>
    </row>
    <row r="235">
      <c r="A235" s="164" t="n"/>
      <c r="B235" s="164" t="n"/>
      <c r="C235" s="164" t="n"/>
      <c r="D235" s="164" t="n"/>
      <c r="E235" s="166" t="n"/>
      <c r="F235" s="166" t="n"/>
      <c r="G235" s="166" t="n"/>
      <c r="H235" s="167">
        <f>E235+F235+G235</f>
        <v/>
      </c>
      <c r="I235" s="168" t="n"/>
      <c r="J235" s="167">
        <f>H235*(1+I235)</f>
        <v/>
      </c>
      <c r="K235" s="169" t="n"/>
      <c r="L235" s="170">
        <f>SUMIFS('HISTORIQUE DOCS'!$H$4:$H$1000,'HISTORIQUE DOCS'!$F$4:$F$1000,A235,'HISTORIQUE DOCS'!$C$4:$C$1000,"FACTURE",'HISTORIQUE DOCS'!$P$4:$P$1000,"VALIDÉ")</f>
        <v/>
      </c>
      <c r="M235" s="170">
        <f>K235-L235</f>
        <v/>
      </c>
      <c r="N235" s="169" t="n"/>
      <c r="O235" s="164" t="n"/>
      <c r="P235" s="164" t="n"/>
    </row>
    <row r="236">
      <c r="A236" s="164" t="n"/>
      <c r="B236" s="164" t="n"/>
      <c r="C236" s="164" t="n"/>
      <c r="D236" s="164" t="n"/>
      <c r="E236" s="166" t="n"/>
      <c r="F236" s="166" t="n"/>
      <c r="G236" s="166" t="n"/>
      <c r="H236" s="167">
        <f>E236+F236+G236</f>
        <v/>
      </c>
      <c r="I236" s="168" t="n"/>
      <c r="J236" s="167">
        <f>H236*(1+I236)</f>
        <v/>
      </c>
      <c r="K236" s="169" t="n"/>
      <c r="L236" s="170">
        <f>SUMIFS('HISTORIQUE DOCS'!$H$4:$H$1000,'HISTORIQUE DOCS'!$F$4:$F$1000,A236,'HISTORIQUE DOCS'!$C$4:$C$1000,"FACTURE",'HISTORIQUE DOCS'!$P$4:$P$1000,"VALIDÉ")</f>
        <v/>
      </c>
      <c r="M236" s="170">
        <f>K236-L236</f>
        <v/>
      </c>
      <c r="N236" s="169" t="n"/>
      <c r="O236" s="164" t="n"/>
      <c r="P236" s="164" t="n"/>
    </row>
    <row r="237">
      <c r="A237" s="164" t="n"/>
      <c r="B237" s="164" t="n"/>
      <c r="C237" s="164" t="n"/>
      <c r="D237" s="164" t="n"/>
      <c r="E237" s="166" t="n"/>
      <c r="F237" s="166" t="n"/>
      <c r="G237" s="166" t="n"/>
      <c r="H237" s="167">
        <f>E237+F237+G237</f>
        <v/>
      </c>
      <c r="I237" s="168" t="n"/>
      <c r="J237" s="167">
        <f>H237*(1+I237)</f>
        <v/>
      </c>
      <c r="K237" s="169" t="n"/>
      <c r="L237" s="170">
        <f>SUMIFS('HISTORIQUE DOCS'!$H$4:$H$1000,'HISTORIQUE DOCS'!$F$4:$F$1000,A237,'HISTORIQUE DOCS'!$C$4:$C$1000,"FACTURE",'HISTORIQUE DOCS'!$P$4:$P$1000,"VALIDÉ")</f>
        <v/>
      </c>
      <c r="M237" s="170">
        <f>K237-L237</f>
        <v/>
      </c>
      <c r="N237" s="169" t="n"/>
      <c r="O237" s="164" t="n"/>
      <c r="P237" s="164" t="n"/>
    </row>
    <row r="238">
      <c r="A238" s="164" t="n"/>
      <c r="B238" s="164" t="n"/>
      <c r="C238" s="164" t="n"/>
      <c r="D238" s="164" t="n"/>
      <c r="E238" s="166" t="n"/>
      <c r="F238" s="166" t="n"/>
      <c r="G238" s="166" t="n"/>
      <c r="H238" s="167">
        <f>E238+F238+G238</f>
        <v/>
      </c>
      <c r="I238" s="168" t="n"/>
      <c r="J238" s="167">
        <f>H238*(1+I238)</f>
        <v/>
      </c>
      <c r="K238" s="169" t="n"/>
      <c r="L238" s="170">
        <f>SUMIFS('HISTORIQUE DOCS'!$H$4:$H$1000,'HISTORIQUE DOCS'!$F$4:$F$1000,A238,'HISTORIQUE DOCS'!$C$4:$C$1000,"FACTURE",'HISTORIQUE DOCS'!$P$4:$P$1000,"VALIDÉ")</f>
        <v/>
      </c>
      <c r="M238" s="170">
        <f>K238-L238</f>
        <v/>
      </c>
      <c r="N238" s="169" t="n"/>
      <c r="O238" s="164" t="n"/>
      <c r="P238" s="164" t="n"/>
    </row>
    <row r="239">
      <c r="A239" s="164" t="n"/>
      <c r="B239" s="164" t="n"/>
      <c r="C239" s="164" t="n"/>
      <c r="D239" s="164" t="n"/>
      <c r="E239" s="166" t="n"/>
      <c r="F239" s="166" t="n"/>
      <c r="G239" s="166" t="n"/>
      <c r="H239" s="167">
        <f>E239+F239+G239</f>
        <v/>
      </c>
      <c r="I239" s="168" t="n"/>
      <c r="J239" s="167">
        <f>H239*(1+I239)</f>
        <v/>
      </c>
      <c r="K239" s="169" t="n"/>
      <c r="L239" s="170">
        <f>SUMIFS('HISTORIQUE DOCS'!$H$4:$H$1000,'HISTORIQUE DOCS'!$F$4:$F$1000,A239,'HISTORIQUE DOCS'!$C$4:$C$1000,"FACTURE",'HISTORIQUE DOCS'!$P$4:$P$1000,"VALIDÉ")</f>
        <v/>
      </c>
      <c r="M239" s="170">
        <f>K239-L239</f>
        <v/>
      </c>
      <c r="N239" s="169" t="n"/>
      <c r="O239" s="164" t="n"/>
      <c r="P239" s="164" t="n"/>
    </row>
    <row r="240">
      <c r="A240" s="164" t="n"/>
      <c r="B240" s="164" t="n"/>
      <c r="C240" s="164" t="n"/>
      <c r="D240" s="164" t="n"/>
      <c r="E240" s="166" t="n"/>
      <c r="F240" s="166" t="n"/>
      <c r="G240" s="166" t="n"/>
      <c r="H240" s="167">
        <f>E240+F240+G240</f>
        <v/>
      </c>
      <c r="I240" s="168" t="n"/>
      <c r="J240" s="167">
        <f>H240*(1+I240)</f>
        <v/>
      </c>
      <c r="K240" s="169" t="n"/>
      <c r="L240" s="170">
        <f>SUMIFS('HISTORIQUE DOCS'!$H$4:$H$1000,'HISTORIQUE DOCS'!$F$4:$F$1000,A240,'HISTORIQUE DOCS'!$C$4:$C$1000,"FACTURE",'HISTORIQUE DOCS'!$P$4:$P$1000,"VALIDÉ")</f>
        <v/>
      </c>
      <c r="M240" s="170">
        <f>K240-L240</f>
        <v/>
      </c>
      <c r="N240" s="169" t="n"/>
      <c r="O240" s="164" t="n"/>
      <c r="P240" s="164" t="n"/>
    </row>
    <row r="241">
      <c r="A241" s="164" t="n"/>
      <c r="B241" s="164" t="n"/>
      <c r="C241" s="164" t="n"/>
      <c r="D241" s="164" t="n"/>
      <c r="E241" s="166" t="n"/>
      <c r="F241" s="166" t="n"/>
      <c r="G241" s="166" t="n"/>
      <c r="H241" s="167">
        <f>E241+F241+G241</f>
        <v/>
      </c>
      <c r="I241" s="168" t="n"/>
      <c r="J241" s="167">
        <f>H241*(1+I241)</f>
        <v/>
      </c>
      <c r="K241" s="169" t="n"/>
      <c r="L241" s="170">
        <f>SUMIFS('HISTORIQUE DOCS'!$H$4:$H$1000,'HISTORIQUE DOCS'!$F$4:$F$1000,A241,'HISTORIQUE DOCS'!$C$4:$C$1000,"FACTURE",'HISTORIQUE DOCS'!$P$4:$P$1000,"VALIDÉ")</f>
        <v/>
      </c>
      <c r="M241" s="170">
        <f>K241-L241</f>
        <v/>
      </c>
      <c r="N241" s="169" t="n"/>
      <c r="O241" s="164" t="n"/>
      <c r="P241" s="164" t="n"/>
    </row>
    <row r="242">
      <c r="A242" s="164" t="n"/>
      <c r="B242" s="164" t="n"/>
      <c r="C242" s="164" t="n"/>
      <c r="D242" s="164" t="n"/>
      <c r="E242" s="166" t="n"/>
      <c r="F242" s="166" t="n"/>
      <c r="G242" s="166" t="n"/>
      <c r="H242" s="167">
        <f>E242+F242+G242</f>
        <v/>
      </c>
      <c r="I242" s="168" t="n"/>
      <c r="J242" s="167">
        <f>H242*(1+I242)</f>
        <v/>
      </c>
      <c r="K242" s="169" t="n"/>
      <c r="L242" s="170">
        <f>SUMIFS('HISTORIQUE DOCS'!$H$4:$H$1000,'HISTORIQUE DOCS'!$F$4:$F$1000,A242,'HISTORIQUE DOCS'!$C$4:$C$1000,"FACTURE",'HISTORIQUE DOCS'!$P$4:$P$1000,"VALIDÉ")</f>
        <v/>
      </c>
      <c r="M242" s="170">
        <f>K242-L242</f>
        <v/>
      </c>
      <c r="N242" s="169" t="n"/>
      <c r="O242" s="164" t="n"/>
      <c r="P242" s="164" t="n"/>
    </row>
    <row r="243">
      <c r="A243" s="164" t="n"/>
      <c r="B243" s="164" t="n"/>
      <c r="C243" s="164" t="n"/>
      <c r="D243" s="164" t="n"/>
      <c r="E243" s="166" t="n"/>
      <c r="F243" s="166" t="n"/>
      <c r="G243" s="166" t="n"/>
      <c r="H243" s="167">
        <f>E243+F243+G243</f>
        <v/>
      </c>
      <c r="I243" s="168" t="n"/>
      <c r="J243" s="167">
        <f>H243*(1+I243)</f>
        <v/>
      </c>
      <c r="K243" s="169" t="n"/>
      <c r="L243" s="170">
        <f>SUMIFS('HISTORIQUE DOCS'!$H$4:$H$1000,'HISTORIQUE DOCS'!$F$4:$F$1000,A243,'HISTORIQUE DOCS'!$C$4:$C$1000,"FACTURE",'HISTORIQUE DOCS'!$P$4:$P$1000,"VALIDÉ")</f>
        <v/>
      </c>
      <c r="M243" s="170">
        <f>K243-L243</f>
        <v/>
      </c>
      <c r="N243" s="169" t="n"/>
      <c r="O243" s="164" t="n"/>
      <c r="P243" s="164" t="n"/>
    </row>
    <row r="244">
      <c r="A244" s="164" t="n"/>
      <c r="B244" s="164" t="n"/>
      <c r="C244" s="164" t="n"/>
      <c r="D244" s="164" t="n"/>
      <c r="E244" s="166" t="n"/>
      <c r="F244" s="166" t="n"/>
      <c r="G244" s="166" t="n"/>
      <c r="H244" s="167">
        <f>E244+F244+G244</f>
        <v/>
      </c>
      <c r="I244" s="168" t="n"/>
      <c r="J244" s="167">
        <f>H244*(1+I244)</f>
        <v/>
      </c>
      <c r="K244" s="169" t="n"/>
      <c r="L244" s="170">
        <f>SUMIFS('HISTORIQUE DOCS'!$H$4:$H$1000,'HISTORIQUE DOCS'!$F$4:$F$1000,A244,'HISTORIQUE DOCS'!$C$4:$C$1000,"FACTURE",'HISTORIQUE DOCS'!$P$4:$P$1000,"VALIDÉ")</f>
        <v/>
      </c>
      <c r="M244" s="170">
        <f>K244-L244</f>
        <v/>
      </c>
      <c r="N244" s="169" t="n"/>
      <c r="O244" s="164" t="n"/>
      <c r="P244" s="164" t="n"/>
    </row>
    <row r="245">
      <c r="A245" s="164" t="n"/>
      <c r="B245" s="164" t="n"/>
      <c r="C245" s="164" t="n"/>
      <c r="D245" s="164" t="n"/>
      <c r="E245" s="166" t="n"/>
      <c r="F245" s="166" t="n"/>
      <c r="G245" s="166" t="n"/>
      <c r="H245" s="167">
        <f>E245+F245+G245</f>
        <v/>
      </c>
      <c r="I245" s="168" t="n"/>
      <c r="J245" s="167">
        <f>H245*(1+I245)</f>
        <v/>
      </c>
      <c r="K245" s="169" t="n"/>
      <c r="L245" s="170">
        <f>SUMIFS('HISTORIQUE DOCS'!$H$4:$H$1000,'HISTORIQUE DOCS'!$F$4:$F$1000,A245,'HISTORIQUE DOCS'!$C$4:$C$1000,"FACTURE",'HISTORIQUE DOCS'!$P$4:$P$1000,"VALIDÉ")</f>
        <v/>
      </c>
      <c r="M245" s="170">
        <f>K245-L245</f>
        <v/>
      </c>
      <c r="N245" s="169" t="n"/>
      <c r="O245" s="164" t="n"/>
      <c r="P245" s="164" t="n"/>
    </row>
    <row r="246">
      <c r="A246" s="164" t="n"/>
      <c r="B246" s="164" t="n"/>
      <c r="C246" s="164" t="n"/>
      <c r="D246" s="164" t="n"/>
      <c r="E246" s="166" t="n"/>
      <c r="F246" s="166" t="n"/>
      <c r="G246" s="166" t="n"/>
      <c r="H246" s="167">
        <f>E246+F246+G246</f>
        <v/>
      </c>
      <c r="I246" s="168" t="n"/>
      <c r="J246" s="167">
        <f>H246*(1+I246)</f>
        <v/>
      </c>
      <c r="K246" s="169" t="n"/>
      <c r="L246" s="170">
        <f>SUMIFS('HISTORIQUE DOCS'!$H$4:$H$1000,'HISTORIQUE DOCS'!$F$4:$F$1000,A246,'HISTORIQUE DOCS'!$C$4:$C$1000,"FACTURE",'HISTORIQUE DOCS'!$P$4:$P$1000,"VALIDÉ")</f>
        <v/>
      </c>
      <c r="M246" s="170">
        <f>K246-L246</f>
        <v/>
      </c>
      <c r="N246" s="169" t="n"/>
      <c r="O246" s="164" t="n"/>
      <c r="P246" s="164" t="n"/>
    </row>
    <row r="247">
      <c r="A247" s="164" t="n"/>
      <c r="B247" s="164" t="n"/>
      <c r="C247" s="164" t="n"/>
      <c r="D247" s="164" t="n"/>
      <c r="E247" s="166" t="n"/>
      <c r="F247" s="166" t="n"/>
      <c r="G247" s="166" t="n"/>
      <c r="H247" s="167">
        <f>E247+F247+G247</f>
        <v/>
      </c>
      <c r="I247" s="168" t="n"/>
      <c r="J247" s="167">
        <f>H247*(1+I247)</f>
        <v/>
      </c>
      <c r="K247" s="169" t="n"/>
      <c r="L247" s="170">
        <f>SUMIFS('HISTORIQUE DOCS'!$H$4:$H$1000,'HISTORIQUE DOCS'!$F$4:$F$1000,A247,'HISTORIQUE DOCS'!$C$4:$C$1000,"FACTURE",'HISTORIQUE DOCS'!$P$4:$P$1000,"VALIDÉ")</f>
        <v/>
      </c>
      <c r="M247" s="170">
        <f>K247-L247</f>
        <v/>
      </c>
      <c r="N247" s="169" t="n"/>
      <c r="O247" s="164" t="n"/>
      <c r="P247" s="164" t="n"/>
    </row>
    <row r="248">
      <c r="A248" s="164" t="n"/>
      <c r="B248" s="164" t="n"/>
      <c r="C248" s="164" t="n"/>
      <c r="D248" s="164" t="n"/>
      <c r="E248" s="166" t="n"/>
      <c r="F248" s="166" t="n"/>
      <c r="G248" s="166" t="n"/>
      <c r="H248" s="167">
        <f>E248+F248+G248</f>
        <v/>
      </c>
      <c r="I248" s="168" t="n"/>
      <c r="J248" s="167">
        <f>H248*(1+I248)</f>
        <v/>
      </c>
      <c r="K248" s="169" t="n"/>
      <c r="L248" s="170">
        <f>SUMIFS('HISTORIQUE DOCS'!$H$4:$H$1000,'HISTORIQUE DOCS'!$F$4:$F$1000,A248,'HISTORIQUE DOCS'!$C$4:$C$1000,"FACTURE",'HISTORIQUE DOCS'!$P$4:$P$1000,"VALIDÉ")</f>
        <v/>
      </c>
      <c r="M248" s="170">
        <f>K248-L248</f>
        <v/>
      </c>
      <c r="N248" s="169" t="n"/>
      <c r="O248" s="164" t="n"/>
      <c r="P248" s="164" t="n"/>
    </row>
    <row r="249">
      <c r="A249" s="164" t="n"/>
      <c r="B249" s="164" t="n"/>
      <c r="C249" s="164" t="n"/>
      <c r="D249" s="164" t="n"/>
      <c r="E249" s="166" t="n"/>
      <c r="F249" s="166" t="n"/>
      <c r="G249" s="166" t="n"/>
      <c r="H249" s="167">
        <f>E249+F249+G249</f>
        <v/>
      </c>
      <c r="I249" s="168" t="n"/>
      <c r="J249" s="167">
        <f>H249*(1+I249)</f>
        <v/>
      </c>
      <c r="K249" s="169" t="n"/>
      <c r="L249" s="170">
        <f>SUMIFS('HISTORIQUE DOCS'!$H$4:$H$1000,'HISTORIQUE DOCS'!$F$4:$F$1000,A249,'HISTORIQUE DOCS'!$C$4:$C$1000,"FACTURE",'HISTORIQUE DOCS'!$P$4:$P$1000,"VALIDÉ")</f>
        <v/>
      </c>
      <c r="M249" s="170">
        <f>K249-L249</f>
        <v/>
      </c>
      <c r="N249" s="169" t="n"/>
      <c r="O249" s="164" t="n"/>
      <c r="P249" s="164" t="n"/>
    </row>
    <row r="250">
      <c r="A250" s="164" t="n"/>
      <c r="B250" s="164" t="n"/>
      <c r="C250" s="164" t="n"/>
      <c r="D250" s="164" t="n"/>
      <c r="E250" s="166" t="n"/>
      <c r="F250" s="166" t="n"/>
      <c r="G250" s="166" t="n"/>
      <c r="H250" s="167">
        <f>E250+F250+G250</f>
        <v/>
      </c>
      <c r="I250" s="168" t="n"/>
      <c r="J250" s="167">
        <f>H250*(1+I250)</f>
        <v/>
      </c>
      <c r="K250" s="169" t="n"/>
      <c r="L250" s="170">
        <f>SUMIFS('HISTORIQUE DOCS'!$H$4:$H$1000,'HISTORIQUE DOCS'!$F$4:$F$1000,A250,'HISTORIQUE DOCS'!$C$4:$C$1000,"FACTURE",'HISTORIQUE DOCS'!$P$4:$P$1000,"VALIDÉ")</f>
        <v/>
      </c>
      <c r="M250" s="170">
        <f>K250-L250</f>
        <v/>
      </c>
      <c r="N250" s="169" t="n"/>
      <c r="O250" s="164" t="n"/>
      <c r="P250" s="164" t="n"/>
    </row>
    <row r="251">
      <c r="A251" s="164" t="n"/>
      <c r="B251" s="164" t="n"/>
      <c r="C251" s="164" t="n"/>
      <c r="D251" s="164" t="n"/>
      <c r="E251" s="166" t="n"/>
      <c r="F251" s="166" t="n"/>
      <c r="G251" s="166" t="n"/>
      <c r="H251" s="167">
        <f>E251+F251+G251</f>
        <v/>
      </c>
      <c r="I251" s="168" t="n"/>
      <c r="J251" s="167">
        <f>H251*(1+I251)</f>
        <v/>
      </c>
      <c r="K251" s="169" t="n"/>
      <c r="L251" s="170">
        <f>SUMIFS('HISTORIQUE DOCS'!$H$4:$H$1000,'HISTORIQUE DOCS'!$F$4:$F$1000,A251,'HISTORIQUE DOCS'!$C$4:$C$1000,"FACTURE",'HISTORIQUE DOCS'!$P$4:$P$1000,"VALIDÉ")</f>
        <v/>
      </c>
      <c r="M251" s="170">
        <f>K251-L251</f>
        <v/>
      </c>
      <c r="N251" s="169" t="n"/>
      <c r="O251" s="164" t="n"/>
      <c r="P251" s="164" t="n"/>
    </row>
    <row r="252">
      <c r="A252" s="164" t="n"/>
      <c r="B252" s="164" t="n"/>
      <c r="C252" s="164" t="n"/>
      <c r="D252" s="164" t="n"/>
      <c r="E252" s="166" t="n"/>
      <c r="F252" s="166" t="n"/>
      <c r="G252" s="166" t="n"/>
      <c r="H252" s="167">
        <f>E252+F252+G252</f>
        <v/>
      </c>
      <c r="I252" s="168" t="n"/>
      <c r="J252" s="167">
        <f>H252*(1+I252)</f>
        <v/>
      </c>
      <c r="K252" s="169" t="n"/>
      <c r="L252" s="170">
        <f>SUMIFS('HISTORIQUE DOCS'!$H$4:$H$1000,'HISTORIQUE DOCS'!$F$4:$F$1000,A252,'HISTORIQUE DOCS'!$C$4:$C$1000,"FACTURE",'HISTORIQUE DOCS'!$P$4:$P$1000,"VALIDÉ")</f>
        <v/>
      </c>
      <c r="M252" s="170">
        <f>K252-L252</f>
        <v/>
      </c>
      <c r="N252" s="169" t="n"/>
      <c r="O252" s="164" t="n"/>
      <c r="P252" s="164" t="n"/>
    </row>
    <row r="253">
      <c r="A253" s="164" t="n"/>
      <c r="B253" s="164" t="n"/>
      <c r="C253" s="164" t="n"/>
      <c r="D253" s="164" t="n"/>
      <c r="E253" s="166" t="n"/>
      <c r="F253" s="166" t="n"/>
      <c r="G253" s="166" t="n"/>
      <c r="H253" s="167">
        <f>E253+F253+G253</f>
        <v/>
      </c>
      <c r="I253" s="168" t="n"/>
      <c r="J253" s="167">
        <f>H253*(1+I253)</f>
        <v/>
      </c>
      <c r="K253" s="169" t="n"/>
      <c r="L253" s="170">
        <f>SUMIFS('HISTORIQUE DOCS'!$H$4:$H$1000,'HISTORIQUE DOCS'!$F$4:$F$1000,A253,'HISTORIQUE DOCS'!$C$4:$C$1000,"FACTURE",'HISTORIQUE DOCS'!$P$4:$P$1000,"VALIDÉ")</f>
        <v/>
      </c>
      <c r="M253" s="170">
        <f>K253-L253</f>
        <v/>
      </c>
      <c r="N253" s="169" t="n"/>
      <c r="O253" s="164" t="n"/>
      <c r="P253" s="164" t="n"/>
    </row>
    <row r="254">
      <c r="A254" s="164" t="n"/>
      <c r="B254" s="164" t="n"/>
      <c r="C254" s="164" t="n"/>
      <c r="D254" s="164" t="n"/>
      <c r="E254" s="166" t="n"/>
      <c r="F254" s="166" t="n"/>
      <c r="G254" s="166" t="n"/>
      <c r="H254" s="167">
        <f>E254+F254+G254</f>
        <v/>
      </c>
      <c r="I254" s="168" t="n"/>
      <c r="J254" s="167">
        <f>H254*(1+I254)</f>
        <v/>
      </c>
      <c r="K254" s="169" t="n"/>
      <c r="L254" s="170">
        <f>SUMIFS('HISTORIQUE DOCS'!$H$4:$H$1000,'HISTORIQUE DOCS'!$F$4:$F$1000,A254,'HISTORIQUE DOCS'!$C$4:$C$1000,"FACTURE",'HISTORIQUE DOCS'!$P$4:$P$1000,"VALIDÉ")</f>
        <v/>
      </c>
      <c r="M254" s="170">
        <f>K254-L254</f>
        <v/>
      </c>
      <c r="N254" s="169" t="n"/>
      <c r="O254" s="164" t="n"/>
      <c r="P254" s="164" t="n"/>
    </row>
    <row r="255">
      <c r="A255" s="164" t="n"/>
      <c r="B255" s="164" t="n"/>
      <c r="C255" s="164" t="n"/>
      <c r="D255" s="164" t="n"/>
      <c r="E255" s="166" t="n"/>
      <c r="F255" s="166" t="n"/>
      <c r="G255" s="166" t="n"/>
      <c r="H255" s="167">
        <f>E255+F255+G255</f>
        <v/>
      </c>
      <c r="I255" s="168" t="n"/>
      <c r="J255" s="167">
        <f>H255*(1+I255)</f>
        <v/>
      </c>
      <c r="K255" s="169" t="n"/>
      <c r="L255" s="170">
        <f>SUMIFS('HISTORIQUE DOCS'!$H$4:$H$1000,'HISTORIQUE DOCS'!$F$4:$F$1000,A255,'HISTORIQUE DOCS'!$C$4:$C$1000,"FACTURE",'HISTORIQUE DOCS'!$P$4:$P$1000,"VALIDÉ")</f>
        <v/>
      </c>
      <c r="M255" s="170">
        <f>K255-L255</f>
        <v/>
      </c>
      <c r="N255" s="169" t="n"/>
      <c r="O255" s="164" t="n"/>
      <c r="P255" s="164" t="n"/>
    </row>
    <row r="256">
      <c r="A256" s="164" t="n"/>
      <c r="B256" s="164" t="n"/>
      <c r="C256" s="164" t="n"/>
      <c r="D256" s="164" t="n"/>
      <c r="E256" s="166" t="n"/>
      <c r="F256" s="166" t="n"/>
      <c r="G256" s="166" t="n"/>
      <c r="H256" s="167">
        <f>E256+F256+G256</f>
        <v/>
      </c>
      <c r="I256" s="168" t="n"/>
      <c r="J256" s="167">
        <f>H256*(1+I256)</f>
        <v/>
      </c>
      <c r="K256" s="169" t="n"/>
      <c r="L256" s="170">
        <f>SUMIFS('HISTORIQUE DOCS'!$H$4:$H$1000,'HISTORIQUE DOCS'!$F$4:$F$1000,A256,'HISTORIQUE DOCS'!$C$4:$C$1000,"FACTURE",'HISTORIQUE DOCS'!$P$4:$P$1000,"VALIDÉ")</f>
        <v/>
      </c>
      <c r="M256" s="170">
        <f>K256-L256</f>
        <v/>
      </c>
      <c r="N256" s="169" t="n"/>
      <c r="O256" s="164" t="n"/>
      <c r="P256" s="164" t="n"/>
    </row>
    <row r="257">
      <c r="A257" s="164" t="n"/>
      <c r="B257" s="164" t="n"/>
      <c r="C257" s="164" t="n"/>
      <c r="D257" s="164" t="n"/>
      <c r="E257" s="166" t="n"/>
      <c r="F257" s="166" t="n"/>
      <c r="G257" s="166" t="n"/>
      <c r="H257" s="167">
        <f>E257+F257+G257</f>
        <v/>
      </c>
      <c r="I257" s="168" t="n"/>
      <c r="J257" s="167">
        <f>H257*(1+I257)</f>
        <v/>
      </c>
      <c r="K257" s="169" t="n"/>
      <c r="L257" s="170">
        <f>SUMIFS('HISTORIQUE DOCS'!$H$4:$H$1000,'HISTORIQUE DOCS'!$F$4:$F$1000,A257,'HISTORIQUE DOCS'!$C$4:$C$1000,"FACTURE",'HISTORIQUE DOCS'!$P$4:$P$1000,"VALIDÉ")</f>
        <v/>
      </c>
      <c r="M257" s="170">
        <f>K257-L257</f>
        <v/>
      </c>
      <c r="N257" s="169" t="n"/>
      <c r="O257" s="164" t="n"/>
      <c r="P257" s="164" t="n"/>
    </row>
    <row r="258">
      <c r="A258" s="164" t="n"/>
      <c r="B258" s="164" t="n"/>
      <c r="C258" s="164" t="n"/>
      <c r="D258" s="164" t="n"/>
      <c r="E258" s="166" t="n"/>
      <c r="F258" s="166" t="n"/>
      <c r="G258" s="166" t="n"/>
      <c r="H258" s="167">
        <f>E258+F258+G258</f>
        <v/>
      </c>
      <c r="I258" s="168" t="n"/>
      <c r="J258" s="167">
        <f>H258*(1+I258)</f>
        <v/>
      </c>
      <c r="K258" s="169" t="n"/>
      <c r="L258" s="170">
        <f>SUMIFS('HISTORIQUE DOCS'!$H$4:$H$1000,'HISTORIQUE DOCS'!$F$4:$F$1000,A258,'HISTORIQUE DOCS'!$C$4:$C$1000,"FACTURE",'HISTORIQUE DOCS'!$P$4:$P$1000,"VALIDÉ")</f>
        <v/>
      </c>
      <c r="M258" s="170">
        <f>K258-L258</f>
        <v/>
      </c>
      <c r="N258" s="169" t="n"/>
      <c r="O258" s="164" t="n"/>
      <c r="P258" s="164" t="n"/>
    </row>
    <row r="259">
      <c r="A259" s="164" t="n"/>
      <c r="B259" s="164" t="n"/>
      <c r="C259" s="164" t="n"/>
      <c r="D259" s="164" t="n"/>
      <c r="E259" s="166" t="n"/>
      <c r="F259" s="166" t="n"/>
      <c r="G259" s="166" t="n"/>
      <c r="H259" s="167">
        <f>E259+F259+G259</f>
        <v/>
      </c>
      <c r="I259" s="168" t="n"/>
      <c r="J259" s="167">
        <f>H259*(1+I259)</f>
        <v/>
      </c>
      <c r="K259" s="169" t="n"/>
      <c r="L259" s="170">
        <f>SUMIFS('HISTORIQUE DOCS'!$H$4:$H$1000,'HISTORIQUE DOCS'!$F$4:$F$1000,A259,'HISTORIQUE DOCS'!$C$4:$C$1000,"FACTURE",'HISTORIQUE DOCS'!$P$4:$P$1000,"VALIDÉ")</f>
        <v/>
      </c>
      <c r="M259" s="170">
        <f>K259-L259</f>
        <v/>
      </c>
      <c r="N259" s="169" t="n"/>
      <c r="O259" s="164" t="n"/>
      <c r="P259" s="164" t="n"/>
    </row>
    <row r="260">
      <c r="A260" s="164" t="n"/>
      <c r="B260" s="164" t="n"/>
      <c r="C260" s="164" t="n"/>
      <c r="D260" s="164" t="n"/>
      <c r="E260" s="166" t="n"/>
      <c r="F260" s="166" t="n"/>
      <c r="G260" s="166" t="n"/>
      <c r="H260" s="167">
        <f>E260+F260+G260</f>
        <v/>
      </c>
      <c r="I260" s="168" t="n"/>
      <c r="J260" s="167">
        <f>H260*(1+I260)</f>
        <v/>
      </c>
      <c r="K260" s="169" t="n"/>
      <c r="L260" s="170">
        <f>SUMIFS('HISTORIQUE DOCS'!$H$4:$H$1000,'HISTORIQUE DOCS'!$F$4:$F$1000,A260,'HISTORIQUE DOCS'!$C$4:$C$1000,"FACTURE",'HISTORIQUE DOCS'!$P$4:$P$1000,"VALIDÉ")</f>
        <v/>
      </c>
      <c r="M260" s="170">
        <f>K260-L260</f>
        <v/>
      </c>
      <c r="N260" s="169" t="n"/>
      <c r="O260" s="164" t="n"/>
      <c r="P260" s="164" t="n"/>
    </row>
    <row r="261">
      <c r="A261" s="164" t="n"/>
      <c r="B261" s="164" t="n"/>
      <c r="C261" s="164" t="n"/>
      <c r="D261" s="164" t="n"/>
      <c r="E261" s="166" t="n"/>
      <c r="F261" s="166" t="n"/>
      <c r="G261" s="166" t="n"/>
      <c r="H261" s="167">
        <f>E261+F261+G261</f>
        <v/>
      </c>
      <c r="I261" s="168" t="n"/>
      <c r="J261" s="167">
        <f>H261*(1+I261)</f>
        <v/>
      </c>
      <c r="K261" s="169" t="n"/>
      <c r="L261" s="170">
        <f>SUMIFS('HISTORIQUE DOCS'!$H$4:$H$1000,'HISTORIQUE DOCS'!$F$4:$F$1000,A261,'HISTORIQUE DOCS'!$C$4:$C$1000,"FACTURE",'HISTORIQUE DOCS'!$P$4:$P$1000,"VALIDÉ")</f>
        <v/>
      </c>
      <c r="M261" s="170">
        <f>K261-L261</f>
        <v/>
      </c>
      <c r="N261" s="169" t="n"/>
      <c r="O261" s="164" t="n"/>
      <c r="P261" s="164" t="n"/>
    </row>
    <row r="262">
      <c r="A262" s="164" t="n"/>
      <c r="B262" s="164" t="n"/>
      <c r="C262" s="164" t="n"/>
      <c r="D262" s="164" t="n"/>
      <c r="E262" s="166" t="n"/>
      <c r="F262" s="166" t="n"/>
      <c r="G262" s="166" t="n"/>
      <c r="H262" s="167">
        <f>E262+F262+G262</f>
        <v/>
      </c>
      <c r="I262" s="168" t="n"/>
      <c r="J262" s="167">
        <f>H262*(1+I262)</f>
        <v/>
      </c>
      <c r="K262" s="169" t="n"/>
      <c r="L262" s="170">
        <f>SUMIFS('HISTORIQUE DOCS'!$H$4:$H$1000,'HISTORIQUE DOCS'!$F$4:$F$1000,A262,'HISTORIQUE DOCS'!$C$4:$C$1000,"FACTURE",'HISTORIQUE DOCS'!$P$4:$P$1000,"VALIDÉ")</f>
        <v/>
      </c>
      <c r="M262" s="170">
        <f>K262-L262</f>
        <v/>
      </c>
      <c r="N262" s="169" t="n"/>
      <c r="O262" s="164" t="n"/>
      <c r="P262" s="164" t="n"/>
    </row>
    <row r="263">
      <c r="A263" s="164" t="n"/>
      <c r="B263" s="164" t="n"/>
      <c r="C263" s="164" t="n"/>
      <c r="D263" s="164" t="n"/>
      <c r="E263" s="166" t="n"/>
      <c r="F263" s="166" t="n"/>
      <c r="G263" s="166" t="n"/>
      <c r="H263" s="167">
        <f>E263+F263+G263</f>
        <v/>
      </c>
      <c r="I263" s="168" t="n"/>
      <c r="J263" s="167">
        <f>H263*(1+I263)</f>
        <v/>
      </c>
      <c r="K263" s="169" t="n"/>
      <c r="L263" s="170">
        <f>SUMIFS('HISTORIQUE DOCS'!$H$4:$H$1000,'HISTORIQUE DOCS'!$F$4:$F$1000,A263,'HISTORIQUE DOCS'!$C$4:$C$1000,"FACTURE",'HISTORIQUE DOCS'!$P$4:$P$1000,"VALIDÉ")</f>
        <v/>
      </c>
      <c r="M263" s="170">
        <f>K263-L263</f>
        <v/>
      </c>
      <c r="N263" s="169" t="n"/>
      <c r="O263" s="164" t="n"/>
      <c r="P263" s="164" t="n"/>
    </row>
    <row r="264">
      <c r="A264" s="164" t="n"/>
      <c r="B264" s="164" t="n"/>
      <c r="C264" s="164" t="n"/>
      <c r="D264" s="164" t="n"/>
      <c r="E264" s="166" t="n"/>
      <c r="F264" s="166" t="n"/>
      <c r="G264" s="166" t="n"/>
      <c r="H264" s="167">
        <f>E264+F264+G264</f>
        <v/>
      </c>
      <c r="I264" s="168" t="n"/>
      <c r="J264" s="167">
        <f>H264*(1+I264)</f>
        <v/>
      </c>
      <c r="K264" s="169" t="n"/>
      <c r="L264" s="170">
        <f>SUMIFS('HISTORIQUE DOCS'!$H$4:$H$1000,'HISTORIQUE DOCS'!$F$4:$F$1000,A264,'HISTORIQUE DOCS'!$C$4:$C$1000,"FACTURE",'HISTORIQUE DOCS'!$P$4:$P$1000,"VALIDÉ")</f>
        <v/>
      </c>
      <c r="M264" s="170">
        <f>K264-L264</f>
        <v/>
      </c>
      <c r="N264" s="169" t="n"/>
      <c r="O264" s="164" t="n"/>
      <c r="P264" s="164" t="n"/>
    </row>
    <row r="265">
      <c r="A265" s="164" t="n"/>
      <c r="B265" s="164" t="n"/>
      <c r="C265" s="164" t="n"/>
      <c r="D265" s="164" t="n"/>
      <c r="E265" s="166" t="n"/>
      <c r="F265" s="166" t="n"/>
      <c r="G265" s="166" t="n"/>
      <c r="H265" s="167">
        <f>E265+F265+G265</f>
        <v/>
      </c>
      <c r="I265" s="168" t="n"/>
      <c r="J265" s="167">
        <f>H265*(1+I265)</f>
        <v/>
      </c>
      <c r="K265" s="169" t="n"/>
      <c r="L265" s="170">
        <f>SUMIFS('HISTORIQUE DOCS'!$H$4:$H$1000,'HISTORIQUE DOCS'!$F$4:$F$1000,A265,'HISTORIQUE DOCS'!$C$4:$C$1000,"FACTURE",'HISTORIQUE DOCS'!$P$4:$P$1000,"VALIDÉ")</f>
        <v/>
      </c>
      <c r="M265" s="170">
        <f>K265-L265</f>
        <v/>
      </c>
      <c r="N265" s="169" t="n"/>
      <c r="O265" s="164" t="n"/>
      <c r="P265" s="164" t="n"/>
    </row>
    <row r="266">
      <c r="A266" s="164" t="n"/>
      <c r="B266" s="164" t="n"/>
      <c r="C266" s="164" t="n"/>
      <c r="D266" s="164" t="n"/>
      <c r="E266" s="166" t="n"/>
      <c r="F266" s="166" t="n"/>
      <c r="G266" s="166" t="n"/>
      <c r="H266" s="167">
        <f>E266+F266+G266</f>
        <v/>
      </c>
      <c r="I266" s="168" t="n"/>
      <c r="J266" s="167">
        <f>H266*(1+I266)</f>
        <v/>
      </c>
      <c r="K266" s="169" t="n"/>
      <c r="L266" s="170">
        <f>SUMIFS('HISTORIQUE DOCS'!$H$4:$H$1000,'HISTORIQUE DOCS'!$F$4:$F$1000,A266,'HISTORIQUE DOCS'!$C$4:$C$1000,"FACTURE",'HISTORIQUE DOCS'!$P$4:$P$1000,"VALIDÉ")</f>
        <v/>
      </c>
      <c r="M266" s="170">
        <f>K266-L266</f>
        <v/>
      </c>
      <c r="N266" s="169" t="n"/>
      <c r="O266" s="164" t="n"/>
      <c r="P266" s="164" t="n"/>
    </row>
    <row r="267">
      <c r="A267" s="164" t="n"/>
      <c r="B267" s="164" t="n"/>
      <c r="C267" s="164" t="n"/>
      <c r="D267" s="164" t="n"/>
      <c r="E267" s="166" t="n"/>
      <c r="F267" s="166" t="n"/>
      <c r="G267" s="166" t="n"/>
      <c r="H267" s="167">
        <f>E267+F267+G267</f>
        <v/>
      </c>
      <c r="I267" s="168" t="n"/>
      <c r="J267" s="167">
        <f>H267*(1+I267)</f>
        <v/>
      </c>
      <c r="K267" s="169" t="n"/>
      <c r="L267" s="170">
        <f>SUMIFS('HISTORIQUE DOCS'!$H$4:$H$1000,'HISTORIQUE DOCS'!$F$4:$F$1000,A267,'HISTORIQUE DOCS'!$C$4:$C$1000,"FACTURE",'HISTORIQUE DOCS'!$P$4:$P$1000,"VALIDÉ")</f>
        <v/>
      </c>
      <c r="M267" s="170">
        <f>K267-L267</f>
        <v/>
      </c>
      <c r="N267" s="169" t="n"/>
      <c r="O267" s="164" t="n"/>
      <c r="P267" s="164" t="n"/>
    </row>
    <row r="268">
      <c r="A268" s="164" t="n"/>
      <c r="B268" s="164" t="n"/>
      <c r="C268" s="164" t="n"/>
      <c r="D268" s="164" t="n"/>
      <c r="E268" s="166" t="n"/>
      <c r="F268" s="166" t="n"/>
      <c r="G268" s="166" t="n"/>
      <c r="H268" s="167">
        <f>E268+F268+G268</f>
        <v/>
      </c>
      <c r="I268" s="168" t="n"/>
      <c r="J268" s="167">
        <f>H268*(1+I268)</f>
        <v/>
      </c>
      <c r="K268" s="169" t="n"/>
      <c r="L268" s="170">
        <f>SUMIFS('HISTORIQUE DOCS'!$H$4:$H$1000,'HISTORIQUE DOCS'!$F$4:$F$1000,A268,'HISTORIQUE DOCS'!$C$4:$C$1000,"FACTURE",'HISTORIQUE DOCS'!$P$4:$P$1000,"VALIDÉ")</f>
        <v/>
      </c>
      <c r="M268" s="170">
        <f>K268-L268</f>
        <v/>
      </c>
      <c r="N268" s="169" t="n"/>
      <c r="O268" s="164" t="n"/>
      <c r="P268" s="164" t="n"/>
    </row>
    <row r="269">
      <c r="A269" s="164" t="n"/>
      <c r="B269" s="164" t="n"/>
      <c r="C269" s="164" t="n"/>
      <c r="D269" s="164" t="n"/>
      <c r="E269" s="166" t="n"/>
      <c r="F269" s="166" t="n"/>
      <c r="G269" s="166" t="n"/>
      <c r="H269" s="167">
        <f>E269+F269+G269</f>
        <v/>
      </c>
      <c r="I269" s="168" t="n"/>
      <c r="J269" s="167">
        <f>H269*(1+I269)</f>
        <v/>
      </c>
      <c r="K269" s="169" t="n"/>
      <c r="L269" s="170">
        <f>SUMIFS('HISTORIQUE DOCS'!$H$4:$H$1000,'HISTORIQUE DOCS'!$F$4:$F$1000,A269,'HISTORIQUE DOCS'!$C$4:$C$1000,"FACTURE",'HISTORIQUE DOCS'!$P$4:$P$1000,"VALIDÉ")</f>
        <v/>
      </c>
      <c r="M269" s="170">
        <f>K269-L269</f>
        <v/>
      </c>
      <c r="N269" s="169" t="n"/>
      <c r="O269" s="164" t="n"/>
      <c r="P269" s="164" t="n"/>
    </row>
    <row r="270">
      <c r="A270" s="164" t="n"/>
      <c r="B270" s="164" t="n"/>
      <c r="C270" s="164" t="n"/>
      <c r="D270" s="164" t="n"/>
      <c r="E270" s="166" t="n"/>
      <c r="F270" s="166" t="n"/>
      <c r="G270" s="166" t="n"/>
      <c r="H270" s="167">
        <f>E270+F270+G270</f>
        <v/>
      </c>
      <c r="I270" s="168" t="n"/>
      <c r="J270" s="167">
        <f>H270*(1+I270)</f>
        <v/>
      </c>
      <c r="K270" s="169" t="n"/>
      <c r="L270" s="170">
        <f>SUMIFS('HISTORIQUE DOCS'!$H$4:$H$1000,'HISTORIQUE DOCS'!$F$4:$F$1000,A270,'HISTORIQUE DOCS'!$C$4:$C$1000,"FACTURE",'HISTORIQUE DOCS'!$P$4:$P$1000,"VALIDÉ")</f>
        <v/>
      </c>
      <c r="M270" s="170">
        <f>K270-L270</f>
        <v/>
      </c>
      <c r="N270" s="169" t="n"/>
      <c r="O270" s="164" t="n"/>
      <c r="P270" s="164" t="n"/>
    </row>
    <row r="271">
      <c r="A271" s="164" t="n"/>
      <c r="B271" s="164" t="n"/>
      <c r="C271" s="164" t="n"/>
      <c r="D271" s="164" t="n"/>
      <c r="E271" s="166" t="n"/>
      <c r="F271" s="166" t="n"/>
      <c r="G271" s="166" t="n"/>
      <c r="H271" s="167">
        <f>E271+F271+G271</f>
        <v/>
      </c>
      <c r="I271" s="168" t="n"/>
      <c r="J271" s="167">
        <f>H271*(1+I271)</f>
        <v/>
      </c>
      <c r="K271" s="169" t="n"/>
      <c r="L271" s="170">
        <f>SUMIFS('HISTORIQUE DOCS'!$H$4:$H$1000,'HISTORIQUE DOCS'!$F$4:$F$1000,A271,'HISTORIQUE DOCS'!$C$4:$C$1000,"FACTURE",'HISTORIQUE DOCS'!$P$4:$P$1000,"VALIDÉ")</f>
        <v/>
      </c>
      <c r="M271" s="170">
        <f>K271-L271</f>
        <v/>
      </c>
      <c r="N271" s="169" t="n"/>
      <c r="O271" s="164" t="n"/>
      <c r="P271" s="164" t="n"/>
    </row>
    <row r="272">
      <c r="A272" s="164" t="n"/>
      <c r="B272" s="164" t="n"/>
      <c r="C272" s="164" t="n"/>
      <c r="D272" s="164" t="n"/>
      <c r="E272" s="166" t="n"/>
      <c r="F272" s="166" t="n"/>
      <c r="G272" s="166" t="n"/>
      <c r="H272" s="167">
        <f>E272+F272+G272</f>
        <v/>
      </c>
      <c r="I272" s="168" t="n"/>
      <c r="J272" s="167">
        <f>H272*(1+I272)</f>
        <v/>
      </c>
      <c r="K272" s="169" t="n"/>
      <c r="L272" s="170">
        <f>SUMIFS('HISTORIQUE DOCS'!$H$4:$H$1000,'HISTORIQUE DOCS'!$F$4:$F$1000,A272,'HISTORIQUE DOCS'!$C$4:$C$1000,"FACTURE",'HISTORIQUE DOCS'!$P$4:$P$1000,"VALIDÉ")</f>
        <v/>
      </c>
      <c r="M272" s="170">
        <f>K272-L272</f>
        <v/>
      </c>
      <c r="N272" s="169" t="n"/>
      <c r="O272" s="164" t="n"/>
      <c r="P272" s="164" t="n"/>
    </row>
    <row r="273">
      <c r="A273" s="164" t="n"/>
      <c r="B273" s="164" t="n"/>
      <c r="C273" s="164" t="n"/>
      <c r="D273" s="164" t="n"/>
      <c r="E273" s="166" t="n"/>
      <c r="F273" s="166" t="n"/>
      <c r="G273" s="166" t="n"/>
      <c r="H273" s="167">
        <f>E273+F273+G273</f>
        <v/>
      </c>
      <c r="I273" s="168" t="n"/>
      <c r="J273" s="167">
        <f>H273*(1+I273)</f>
        <v/>
      </c>
      <c r="K273" s="169" t="n"/>
      <c r="L273" s="170">
        <f>SUMIFS('HISTORIQUE DOCS'!$H$4:$H$1000,'HISTORIQUE DOCS'!$F$4:$F$1000,A273,'HISTORIQUE DOCS'!$C$4:$C$1000,"FACTURE",'HISTORIQUE DOCS'!$P$4:$P$1000,"VALIDÉ")</f>
        <v/>
      </c>
      <c r="M273" s="170">
        <f>K273-L273</f>
        <v/>
      </c>
      <c r="N273" s="169" t="n"/>
      <c r="O273" s="164" t="n"/>
      <c r="P273" s="164" t="n"/>
    </row>
    <row r="274">
      <c r="A274" s="164" t="n"/>
      <c r="B274" s="164" t="n"/>
      <c r="C274" s="164" t="n"/>
      <c r="D274" s="164" t="n"/>
      <c r="E274" s="166" t="n"/>
      <c r="F274" s="166" t="n"/>
      <c r="G274" s="166" t="n"/>
      <c r="H274" s="167">
        <f>E274+F274+G274</f>
        <v/>
      </c>
      <c r="I274" s="168" t="n"/>
      <c r="J274" s="167">
        <f>H274*(1+I274)</f>
        <v/>
      </c>
      <c r="K274" s="169" t="n"/>
      <c r="L274" s="170">
        <f>SUMIFS('HISTORIQUE DOCS'!$H$4:$H$1000,'HISTORIQUE DOCS'!$F$4:$F$1000,A274,'HISTORIQUE DOCS'!$C$4:$C$1000,"FACTURE",'HISTORIQUE DOCS'!$P$4:$P$1000,"VALIDÉ")</f>
        <v/>
      </c>
      <c r="M274" s="170">
        <f>K274-L274</f>
        <v/>
      </c>
      <c r="N274" s="169" t="n"/>
      <c r="O274" s="164" t="n"/>
      <c r="P274" s="164" t="n"/>
    </row>
    <row r="275">
      <c r="A275" s="164" t="n"/>
      <c r="B275" s="164" t="n"/>
      <c r="C275" s="164" t="n"/>
      <c r="D275" s="164" t="n"/>
      <c r="E275" s="166" t="n"/>
      <c r="F275" s="166" t="n"/>
      <c r="G275" s="166" t="n"/>
      <c r="H275" s="167">
        <f>E275+F275+G275</f>
        <v/>
      </c>
      <c r="I275" s="168" t="n"/>
      <c r="J275" s="167">
        <f>H275*(1+I275)</f>
        <v/>
      </c>
      <c r="K275" s="169" t="n"/>
      <c r="L275" s="170">
        <f>SUMIFS('HISTORIQUE DOCS'!$H$4:$H$1000,'HISTORIQUE DOCS'!$F$4:$F$1000,A275,'HISTORIQUE DOCS'!$C$4:$C$1000,"FACTURE",'HISTORIQUE DOCS'!$P$4:$P$1000,"VALIDÉ")</f>
        <v/>
      </c>
      <c r="M275" s="170">
        <f>K275-L275</f>
        <v/>
      </c>
      <c r="N275" s="169" t="n"/>
      <c r="O275" s="164" t="n"/>
      <c r="P275" s="164" t="n"/>
    </row>
    <row r="276">
      <c r="A276" s="164" t="n"/>
      <c r="B276" s="164" t="n"/>
      <c r="C276" s="164" t="n"/>
      <c r="D276" s="164" t="n"/>
      <c r="E276" s="166" t="n"/>
      <c r="F276" s="166" t="n"/>
      <c r="G276" s="166" t="n"/>
      <c r="H276" s="167">
        <f>E276+F276+G276</f>
        <v/>
      </c>
      <c r="I276" s="168" t="n"/>
      <c r="J276" s="167">
        <f>H276*(1+I276)</f>
        <v/>
      </c>
      <c r="K276" s="169" t="n"/>
      <c r="L276" s="170">
        <f>SUMIFS('HISTORIQUE DOCS'!$H$4:$H$1000,'HISTORIQUE DOCS'!$F$4:$F$1000,A276,'HISTORIQUE DOCS'!$C$4:$C$1000,"FACTURE",'HISTORIQUE DOCS'!$P$4:$P$1000,"VALIDÉ")</f>
        <v/>
      </c>
      <c r="M276" s="170">
        <f>K276-L276</f>
        <v/>
      </c>
      <c r="N276" s="169" t="n"/>
      <c r="O276" s="164" t="n"/>
      <c r="P276" s="164" t="n"/>
    </row>
    <row r="277">
      <c r="A277" s="164" t="n"/>
      <c r="B277" s="164" t="n"/>
      <c r="C277" s="164" t="n"/>
      <c r="D277" s="164" t="n"/>
      <c r="E277" s="166" t="n"/>
      <c r="F277" s="166" t="n"/>
      <c r="G277" s="166" t="n"/>
      <c r="H277" s="167">
        <f>E277+F277+G277</f>
        <v/>
      </c>
      <c r="I277" s="168" t="n"/>
      <c r="J277" s="167">
        <f>H277*(1+I277)</f>
        <v/>
      </c>
      <c r="K277" s="169" t="n"/>
      <c r="L277" s="170">
        <f>SUMIFS('HISTORIQUE DOCS'!$H$4:$H$1000,'HISTORIQUE DOCS'!$F$4:$F$1000,A277,'HISTORIQUE DOCS'!$C$4:$C$1000,"FACTURE",'HISTORIQUE DOCS'!$P$4:$P$1000,"VALIDÉ")</f>
        <v/>
      </c>
      <c r="M277" s="170">
        <f>K277-L277</f>
        <v/>
      </c>
      <c r="N277" s="169" t="n"/>
      <c r="O277" s="164" t="n"/>
      <c r="P277" s="164" t="n"/>
    </row>
    <row r="278">
      <c r="A278" s="164" t="n"/>
      <c r="B278" s="164" t="n"/>
      <c r="C278" s="164" t="n"/>
      <c r="D278" s="164" t="n"/>
      <c r="E278" s="166" t="n"/>
      <c r="F278" s="166" t="n"/>
      <c r="G278" s="166" t="n"/>
      <c r="H278" s="167">
        <f>E278+F278+G278</f>
        <v/>
      </c>
      <c r="I278" s="168" t="n"/>
      <c r="J278" s="167">
        <f>H278*(1+I278)</f>
        <v/>
      </c>
      <c r="K278" s="169" t="n"/>
      <c r="L278" s="170">
        <f>SUMIFS('HISTORIQUE DOCS'!$H$4:$H$1000,'HISTORIQUE DOCS'!$F$4:$F$1000,A278,'HISTORIQUE DOCS'!$C$4:$C$1000,"FACTURE",'HISTORIQUE DOCS'!$P$4:$P$1000,"VALIDÉ")</f>
        <v/>
      </c>
      <c r="M278" s="170">
        <f>K278-L278</f>
        <v/>
      </c>
      <c r="N278" s="169" t="n"/>
      <c r="O278" s="164" t="n"/>
      <c r="P278" s="164" t="n"/>
    </row>
    <row r="279">
      <c r="A279" s="164" t="n"/>
      <c r="B279" s="164" t="n"/>
      <c r="C279" s="164" t="n"/>
      <c r="D279" s="164" t="n"/>
      <c r="E279" s="166" t="n"/>
      <c r="F279" s="166" t="n"/>
      <c r="G279" s="166" t="n"/>
      <c r="H279" s="167">
        <f>E279+F279+G279</f>
        <v/>
      </c>
      <c r="I279" s="168" t="n"/>
      <c r="J279" s="167">
        <f>H279*(1+I279)</f>
        <v/>
      </c>
      <c r="K279" s="169" t="n"/>
      <c r="L279" s="170">
        <f>SUMIFS('HISTORIQUE DOCS'!$H$4:$H$1000,'HISTORIQUE DOCS'!$F$4:$F$1000,A279,'HISTORIQUE DOCS'!$C$4:$C$1000,"FACTURE",'HISTORIQUE DOCS'!$P$4:$P$1000,"VALIDÉ")</f>
        <v/>
      </c>
      <c r="M279" s="170">
        <f>K279-L279</f>
        <v/>
      </c>
      <c r="N279" s="169" t="n"/>
      <c r="O279" s="164" t="n"/>
      <c r="P279" s="164" t="n"/>
    </row>
    <row r="280">
      <c r="A280" s="164" t="n"/>
      <c r="B280" s="164" t="n"/>
      <c r="C280" s="164" t="n"/>
      <c r="D280" s="164" t="n"/>
      <c r="E280" s="166" t="n"/>
      <c r="F280" s="166" t="n"/>
      <c r="G280" s="166" t="n"/>
      <c r="H280" s="167">
        <f>E280+F280+G280</f>
        <v/>
      </c>
      <c r="I280" s="168" t="n"/>
      <c r="J280" s="167">
        <f>H280*(1+I280)</f>
        <v/>
      </c>
      <c r="K280" s="169" t="n"/>
      <c r="L280" s="170">
        <f>SUMIFS('HISTORIQUE DOCS'!$H$4:$H$1000,'HISTORIQUE DOCS'!$F$4:$F$1000,A280,'HISTORIQUE DOCS'!$C$4:$C$1000,"FACTURE",'HISTORIQUE DOCS'!$P$4:$P$1000,"VALIDÉ")</f>
        <v/>
      </c>
      <c r="M280" s="170">
        <f>K280-L280</f>
        <v/>
      </c>
      <c r="N280" s="169" t="n"/>
      <c r="O280" s="164" t="n"/>
      <c r="P280" s="164" t="n"/>
    </row>
    <row r="281">
      <c r="A281" s="164" t="n"/>
      <c r="B281" s="164" t="n"/>
      <c r="C281" s="164" t="n"/>
      <c r="D281" s="164" t="n"/>
      <c r="E281" s="166" t="n"/>
      <c r="F281" s="166" t="n"/>
      <c r="G281" s="166" t="n"/>
      <c r="H281" s="167">
        <f>E281+F281+G281</f>
        <v/>
      </c>
      <c r="I281" s="168" t="n"/>
      <c r="J281" s="167">
        <f>H281*(1+I281)</f>
        <v/>
      </c>
      <c r="K281" s="169" t="n"/>
      <c r="L281" s="170">
        <f>SUMIFS('HISTORIQUE DOCS'!$H$4:$H$1000,'HISTORIQUE DOCS'!$F$4:$F$1000,A281,'HISTORIQUE DOCS'!$C$4:$C$1000,"FACTURE",'HISTORIQUE DOCS'!$P$4:$P$1000,"VALIDÉ")</f>
        <v/>
      </c>
      <c r="M281" s="170">
        <f>K281-L281</f>
        <v/>
      </c>
      <c r="N281" s="169" t="n"/>
      <c r="O281" s="164" t="n"/>
      <c r="P281" s="164" t="n"/>
    </row>
    <row r="282">
      <c r="A282" s="164" t="n"/>
      <c r="B282" s="164" t="n"/>
      <c r="C282" s="164" t="n"/>
      <c r="D282" s="164" t="n"/>
      <c r="E282" s="166" t="n"/>
      <c r="F282" s="166" t="n"/>
      <c r="G282" s="166" t="n"/>
      <c r="H282" s="167">
        <f>E282+F282+G282</f>
        <v/>
      </c>
      <c r="I282" s="168" t="n"/>
      <c r="J282" s="167">
        <f>H282*(1+I282)</f>
        <v/>
      </c>
      <c r="K282" s="169" t="n"/>
      <c r="L282" s="170">
        <f>SUMIFS('HISTORIQUE DOCS'!$H$4:$H$1000,'HISTORIQUE DOCS'!$F$4:$F$1000,A282,'HISTORIQUE DOCS'!$C$4:$C$1000,"FACTURE",'HISTORIQUE DOCS'!$P$4:$P$1000,"VALIDÉ")</f>
        <v/>
      </c>
      <c r="M282" s="170">
        <f>K282-L282</f>
        <v/>
      </c>
      <c r="N282" s="169" t="n"/>
      <c r="O282" s="164" t="n"/>
      <c r="P282" s="164" t="n"/>
    </row>
    <row r="283">
      <c r="A283" s="164" t="n"/>
      <c r="B283" s="164" t="n"/>
      <c r="C283" s="164" t="n"/>
      <c r="D283" s="164" t="n"/>
      <c r="E283" s="166" t="n"/>
      <c r="F283" s="166" t="n"/>
      <c r="G283" s="166" t="n"/>
      <c r="H283" s="167">
        <f>E283+F283+G283</f>
        <v/>
      </c>
      <c r="I283" s="168" t="n"/>
      <c r="J283" s="167">
        <f>H283*(1+I283)</f>
        <v/>
      </c>
      <c r="K283" s="169" t="n"/>
      <c r="L283" s="170">
        <f>SUMIFS('HISTORIQUE DOCS'!$H$4:$H$1000,'HISTORIQUE DOCS'!$F$4:$F$1000,A283,'HISTORIQUE DOCS'!$C$4:$C$1000,"FACTURE",'HISTORIQUE DOCS'!$P$4:$P$1000,"VALIDÉ")</f>
        <v/>
      </c>
      <c r="M283" s="170">
        <f>K283-L283</f>
        <v/>
      </c>
      <c r="N283" s="169" t="n"/>
      <c r="O283" s="164" t="n"/>
      <c r="P283" s="164" t="n"/>
    </row>
    <row r="284">
      <c r="A284" s="164" t="n"/>
      <c r="B284" s="164" t="n"/>
      <c r="C284" s="164" t="n"/>
      <c r="D284" s="164" t="n"/>
      <c r="E284" s="166" t="n"/>
      <c r="F284" s="166" t="n"/>
      <c r="G284" s="166" t="n"/>
      <c r="H284" s="167">
        <f>E284+F284+G284</f>
        <v/>
      </c>
      <c r="I284" s="168" t="n"/>
      <c r="J284" s="167">
        <f>H284*(1+I284)</f>
        <v/>
      </c>
      <c r="K284" s="169" t="n"/>
      <c r="L284" s="170">
        <f>SUMIFS('HISTORIQUE DOCS'!$H$4:$H$1000,'HISTORIQUE DOCS'!$F$4:$F$1000,A284,'HISTORIQUE DOCS'!$C$4:$C$1000,"FACTURE",'HISTORIQUE DOCS'!$P$4:$P$1000,"VALIDÉ")</f>
        <v/>
      </c>
      <c r="M284" s="170">
        <f>K284-L284</f>
        <v/>
      </c>
      <c r="N284" s="169" t="n"/>
      <c r="O284" s="164" t="n"/>
      <c r="P284" s="164" t="n"/>
    </row>
    <row r="285">
      <c r="A285" s="164" t="n"/>
      <c r="B285" s="164" t="n"/>
      <c r="C285" s="164" t="n"/>
      <c r="D285" s="164" t="n"/>
      <c r="E285" s="166" t="n"/>
      <c r="F285" s="166" t="n"/>
      <c r="G285" s="166" t="n"/>
      <c r="H285" s="167">
        <f>E285+F285+G285</f>
        <v/>
      </c>
      <c r="I285" s="168" t="n"/>
      <c r="J285" s="167">
        <f>H285*(1+I285)</f>
        <v/>
      </c>
      <c r="K285" s="169" t="n"/>
      <c r="L285" s="170">
        <f>SUMIFS('HISTORIQUE DOCS'!$H$4:$H$1000,'HISTORIQUE DOCS'!$F$4:$F$1000,A285,'HISTORIQUE DOCS'!$C$4:$C$1000,"FACTURE",'HISTORIQUE DOCS'!$P$4:$P$1000,"VALIDÉ")</f>
        <v/>
      </c>
      <c r="M285" s="170">
        <f>K285-L285</f>
        <v/>
      </c>
      <c r="N285" s="169" t="n"/>
      <c r="O285" s="164" t="n"/>
      <c r="P285" s="164" t="n"/>
    </row>
    <row r="286">
      <c r="A286" s="164" t="n"/>
      <c r="B286" s="164" t="n"/>
      <c r="C286" s="164" t="n"/>
      <c r="D286" s="164" t="n"/>
      <c r="E286" s="166" t="n"/>
      <c r="F286" s="166" t="n"/>
      <c r="G286" s="166" t="n"/>
      <c r="H286" s="167">
        <f>E286+F286+G286</f>
        <v/>
      </c>
      <c r="I286" s="168" t="n"/>
      <c r="J286" s="167">
        <f>H286*(1+I286)</f>
        <v/>
      </c>
      <c r="K286" s="169" t="n"/>
      <c r="L286" s="170">
        <f>SUMIFS('HISTORIQUE DOCS'!$H$4:$H$1000,'HISTORIQUE DOCS'!$F$4:$F$1000,A286,'HISTORIQUE DOCS'!$C$4:$C$1000,"FACTURE",'HISTORIQUE DOCS'!$P$4:$P$1000,"VALIDÉ")</f>
        <v/>
      </c>
      <c r="M286" s="170">
        <f>K286-L286</f>
        <v/>
      </c>
      <c r="N286" s="169" t="n"/>
      <c r="O286" s="164" t="n"/>
      <c r="P286" s="164" t="n"/>
    </row>
    <row r="287">
      <c r="A287" s="164" t="n"/>
      <c r="B287" s="164" t="n"/>
      <c r="C287" s="164" t="n"/>
      <c r="D287" s="164" t="n"/>
      <c r="E287" s="166" t="n"/>
      <c r="F287" s="166" t="n"/>
      <c r="G287" s="166" t="n"/>
      <c r="H287" s="167">
        <f>E287+F287+G287</f>
        <v/>
      </c>
      <c r="I287" s="168" t="n"/>
      <c r="J287" s="167">
        <f>H287*(1+I287)</f>
        <v/>
      </c>
      <c r="K287" s="169" t="n"/>
      <c r="L287" s="170">
        <f>SUMIFS('HISTORIQUE DOCS'!$H$4:$H$1000,'HISTORIQUE DOCS'!$F$4:$F$1000,A287,'HISTORIQUE DOCS'!$C$4:$C$1000,"FACTURE",'HISTORIQUE DOCS'!$P$4:$P$1000,"VALIDÉ")</f>
        <v/>
      </c>
      <c r="M287" s="170">
        <f>K287-L287</f>
        <v/>
      </c>
      <c r="N287" s="169" t="n"/>
      <c r="O287" s="164" t="n"/>
      <c r="P287" s="164" t="n"/>
    </row>
    <row r="288">
      <c r="A288" s="164" t="n"/>
      <c r="B288" s="164" t="n"/>
      <c r="C288" s="164" t="n"/>
      <c r="D288" s="164" t="n"/>
      <c r="E288" s="166" t="n"/>
      <c r="F288" s="166" t="n"/>
      <c r="G288" s="166" t="n"/>
      <c r="H288" s="167">
        <f>E288+F288+G288</f>
        <v/>
      </c>
      <c r="I288" s="168" t="n"/>
      <c r="J288" s="167">
        <f>H288*(1+I288)</f>
        <v/>
      </c>
      <c r="K288" s="169" t="n"/>
      <c r="L288" s="170">
        <f>SUMIFS('HISTORIQUE DOCS'!$H$4:$H$1000,'HISTORIQUE DOCS'!$F$4:$F$1000,A288,'HISTORIQUE DOCS'!$C$4:$C$1000,"FACTURE",'HISTORIQUE DOCS'!$P$4:$P$1000,"VALIDÉ")</f>
        <v/>
      </c>
      <c r="M288" s="170">
        <f>K288-L288</f>
        <v/>
      </c>
      <c r="N288" s="169" t="n"/>
      <c r="O288" s="164" t="n"/>
      <c r="P288" s="164" t="n"/>
    </row>
    <row r="289">
      <c r="A289" s="164" t="n"/>
      <c r="B289" s="164" t="n"/>
      <c r="C289" s="164" t="n"/>
      <c r="D289" s="164" t="n"/>
      <c r="E289" s="166" t="n"/>
      <c r="F289" s="166" t="n"/>
      <c r="G289" s="166" t="n"/>
      <c r="H289" s="167">
        <f>E289+F289+G289</f>
        <v/>
      </c>
      <c r="I289" s="168" t="n"/>
      <c r="J289" s="167">
        <f>H289*(1+I289)</f>
        <v/>
      </c>
      <c r="K289" s="169" t="n"/>
      <c r="L289" s="170">
        <f>SUMIFS('HISTORIQUE DOCS'!$H$4:$H$1000,'HISTORIQUE DOCS'!$F$4:$F$1000,A289,'HISTORIQUE DOCS'!$C$4:$C$1000,"FACTURE",'HISTORIQUE DOCS'!$P$4:$P$1000,"VALIDÉ")</f>
        <v/>
      </c>
      <c r="M289" s="170">
        <f>K289-L289</f>
        <v/>
      </c>
      <c r="N289" s="169" t="n"/>
      <c r="O289" s="164" t="n"/>
      <c r="P289" s="164" t="n"/>
    </row>
    <row r="290">
      <c r="A290" s="164" t="n"/>
      <c r="B290" s="164" t="n"/>
      <c r="C290" s="164" t="n"/>
      <c r="D290" s="164" t="n"/>
      <c r="E290" s="166" t="n"/>
      <c r="F290" s="166" t="n"/>
      <c r="G290" s="166" t="n"/>
      <c r="H290" s="167">
        <f>E290+F290+G290</f>
        <v/>
      </c>
      <c r="I290" s="168" t="n"/>
      <c r="J290" s="167">
        <f>H290*(1+I290)</f>
        <v/>
      </c>
      <c r="K290" s="169" t="n"/>
      <c r="L290" s="170">
        <f>SUMIFS('HISTORIQUE DOCS'!$H$4:$H$1000,'HISTORIQUE DOCS'!$F$4:$F$1000,A290,'HISTORIQUE DOCS'!$C$4:$C$1000,"FACTURE",'HISTORIQUE DOCS'!$P$4:$P$1000,"VALIDÉ")</f>
        <v/>
      </c>
      <c r="M290" s="170">
        <f>K290-L290</f>
        <v/>
      </c>
      <c r="N290" s="169" t="n"/>
      <c r="O290" s="164" t="n"/>
      <c r="P290" s="164" t="n"/>
    </row>
    <row r="291">
      <c r="A291" s="164" t="n"/>
      <c r="B291" s="164" t="n"/>
      <c r="C291" s="164" t="n"/>
      <c r="D291" s="164" t="n"/>
      <c r="E291" s="166" t="n"/>
      <c r="F291" s="166" t="n"/>
      <c r="G291" s="166" t="n"/>
      <c r="H291" s="167">
        <f>E291+F291+G291</f>
        <v/>
      </c>
      <c r="I291" s="168" t="n"/>
      <c r="J291" s="167">
        <f>H291*(1+I291)</f>
        <v/>
      </c>
      <c r="K291" s="169" t="n"/>
      <c r="L291" s="170">
        <f>SUMIFS('HISTORIQUE DOCS'!$H$4:$H$1000,'HISTORIQUE DOCS'!$F$4:$F$1000,A291,'HISTORIQUE DOCS'!$C$4:$C$1000,"FACTURE",'HISTORIQUE DOCS'!$P$4:$P$1000,"VALIDÉ")</f>
        <v/>
      </c>
      <c r="M291" s="170">
        <f>K291-L291</f>
        <v/>
      </c>
      <c r="N291" s="169" t="n"/>
      <c r="O291" s="164" t="n"/>
      <c r="P291" s="164" t="n"/>
    </row>
    <row r="292">
      <c r="A292" s="164" t="n"/>
      <c r="B292" s="164" t="n"/>
      <c r="C292" s="164" t="n"/>
      <c r="D292" s="164" t="n"/>
      <c r="E292" s="166" t="n"/>
      <c r="F292" s="166" t="n"/>
      <c r="G292" s="166" t="n"/>
      <c r="H292" s="167">
        <f>E292+F292+G292</f>
        <v/>
      </c>
      <c r="I292" s="168" t="n"/>
      <c r="J292" s="167">
        <f>H292*(1+I292)</f>
        <v/>
      </c>
      <c r="K292" s="169" t="n"/>
      <c r="L292" s="170">
        <f>SUMIFS('HISTORIQUE DOCS'!$H$4:$H$1000,'HISTORIQUE DOCS'!$F$4:$F$1000,A292,'HISTORIQUE DOCS'!$C$4:$C$1000,"FACTURE",'HISTORIQUE DOCS'!$P$4:$P$1000,"VALIDÉ")</f>
        <v/>
      </c>
      <c r="M292" s="170">
        <f>K292-L292</f>
        <v/>
      </c>
      <c r="N292" s="169" t="n"/>
      <c r="O292" s="164" t="n"/>
      <c r="P292" s="164" t="n"/>
    </row>
    <row r="293">
      <c r="A293" s="164" t="n"/>
      <c r="B293" s="164" t="n"/>
      <c r="C293" s="164" t="n"/>
      <c r="D293" s="164" t="n"/>
      <c r="E293" s="166" t="n"/>
      <c r="F293" s="166" t="n"/>
      <c r="G293" s="166" t="n"/>
      <c r="H293" s="167">
        <f>E293+F293+G293</f>
        <v/>
      </c>
      <c r="I293" s="168" t="n"/>
      <c r="J293" s="167">
        <f>H293*(1+I293)</f>
        <v/>
      </c>
      <c r="K293" s="169" t="n"/>
      <c r="L293" s="170">
        <f>SUMIFS('HISTORIQUE DOCS'!$H$4:$H$1000,'HISTORIQUE DOCS'!$F$4:$F$1000,A293,'HISTORIQUE DOCS'!$C$4:$C$1000,"FACTURE",'HISTORIQUE DOCS'!$P$4:$P$1000,"VALIDÉ")</f>
        <v/>
      </c>
      <c r="M293" s="170">
        <f>K293-L293</f>
        <v/>
      </c>
      <c r="N293" s="169" t="n"/>
      <c r="O293" s="164" t="n"/>
      <c r="P293" s="164" t="n"/>
    </row>
    <row r="294">
      <c r="A294" s="164" t="n"/>
      <c r="B294" s="164" t="n"/>
      <c r="C294" s="164" t="n"/>
      <c r="D294" s="164" t="n"/>
      <c r="E294" s="166" t="n"/>
      <c r="F294" s="166" t="n"/>
      <c r="G294" s="166" t="n"/>
      <c r="H294" s="167">
        <f>E294+F294+G294</f>
        <v/>
      </c>
      <c r="I294" s="168" t="n"/>
      <c r="J294" s="167">
        <f>H294*(1+I294)</f>
        <v/>
      </c>
      <c r="K294" s="169" t="n"/>
      <c r="L294" s="170">
        <f>SUMIFS('HISTORIQUE DOCS'!$H$4:$H$1000,'HISTORIQUE DOCS'!$F$4:$F$1000,A294,'HISTORIQUE DOCS'!$C$4:$C$1000,"FACTURE",'HISTORIQUE DOCS'!$P$4:$P$1000,"VALIDÉ")</f>
        <v/>
      </c>
      <c r="M294" s="170">
        <f>K294-L294</f>
        <v/>
      </c>
      <c r="N294" s="169" t="n"/>
      <c r="O294" s="164" t="n"/>
      <c r="P294" s="164" t="n"/>
    </row>
    <row r="295">
      <c r="A295" s="164" t="n"/>
      <c r="B295" s="164" t="n"/>
      <c r="C295" s="164" t="n"/>
      <c r="D295" s="164" t="n"/>
      <c r="E295" s="166" t="n"/>
      <c r="F295" s="166" t="n"/>
      <c r="G295" s="166" t="n"/>
      <c r="H295" s="167">
        <f>E295+F295+G295</f>
        <v/>
      </c>
      <c r="I295" s="168" t="n"/>
      <c r="J295" s="167">
        <f>H295*(1+I295)</f>
        <v/>
      </c>
      <c r="K295" s="169" t="n"/>
      <c r="L295" s="170">
        <f>SUMIFS('HISTORIQUE DOCS'!$H$4:$H$1000,'HISTORIQUE DOCS'!$F$4:$F$1000,A295,'HISTORIQUE DOCS'!$C$4:$C$1000,"FACTURE",'HISTORIQUE DOCS'!$P$4:$P$1000,"VALIDÉ")</f>
        <v/>
      </c>
      <c r="M295" s="170">
        <f>K295-L295</f>
        <v/>
      </c>
      <c r="N295" s="169" t="n"/>
      <c r="O295" s="164" t="n"/>
      <c r="P295" s="164" t="n"/>
    </row>
    <row r="296">
      <c r="A296" s="164" t="n"/>
      <c r="B296" s="164" t="n"/>
      <c r="C296" s="164" t="n"/>
      <c r="D296" s="164" t="n"/>
      <c r="E296" s="166" t="n"/>
      <c r="F296" s="166" t="n"/>
      <c r="G296" s="166" t="n"/>
      <c r="H296" s="167">
        <f>E296+F296+G296</f>
        <v/>
      </c>
      <c r="I296" s="168" t="n"/>
      <c r="J296" s="167">
        <f>H296*(1+I296)</f>
        <v/>
      </c>
      <c r="K296" s="169" t="n"/>
      <c r="L296" s="170">
        <f>SUMIFS('HISTORIQUE DOCS'!$H$4:$H$1000,'HISTORIQUE DOCS'!$F$4:$F$1000,A296,'HISTORIQUE DOCS'!$C$4:$C$1000,"FACTURE",'HISTORIQUE DOCS'!$P$4:$P$1000,"VALIDÉ")</f>
        <v/>
      </c>
      <c r="M296" s="170">
        <f>K296-L296</f>
        <v/>
      </c>
      <c r="N296" s="169" t="n"/>
      <c r="O296" s="164" t="n"/>
      <c r="P296" s="164" t="n"/>
    </row>
    <row r="297">
      <c r="A297" s="164" t="n"/>
      <c r="B297" s="164" t="n"/>
      <c r="C297" s="164" t="n"/>
      <c r="D297" s="164" t="n"/>
      <c r="E297" s="166" t="n"/>
      <c r="F297" s="166" t="n"/>
      <c r="G297" s="166" t="n"/>
      <c r="H297" s="167">
        <f>E297+F297+G297</f>
        <v/>
      </c>
      <c r="I297" s="168" t="n"/>
      <c r="J297" s="167">
        <f>H297*(1+I297)</f>
        <v/>
      </c>
      <c r="K297" s="169" t="n"/>
      <c r="L297" s="170">
        <f>SUMIFS('HISTORIQUE DOCS'!$H$4:$H$1000,'HISTORIQUE DOCS'!$F$4:$F$1000,A297,'HISTORIQUE DOCS'!$C$4:$C$1000,"FACTURE",'HISTORIQUE DOCS'!$P$4:$P$1000,"VALIDÉ")</f>
        <v/>
      </c>
      <c r="M297" s="170">
        <f>K297-L297</f>
        <v/>
      </c>
      <c r="N297" s="169" t="n"/>
      <c r="O297" s="164" t="n"/>
      <c r="P297" s="164" t="n"/>
    </row>
    <row r="298">
      <c r="A298" s="164" t="n"/>
      <c r="B298" s="164" t="n"/>
      <c r="C298" s="164" t="n"/>
      <c r="D298" s="164" t="n"/>
      <c r="E298" s="166" t="n"/>
      <c r="F298" s="166" t="n"/>
      <c r="G298" s="166" t="n"/>
      <c r="H298" s="167">
        <f>E298+F298+G298</f>
        <v/>
      </c>
      <c r="I298" s="168" t="n"/>
      <c r="J298" s="167">
        <f>H298*(1+I298)</f>
        <v/>
      </c>
      <c r="K298" s="169" t="n"/>
      <c r="L298" s="170">
        <f>SUMIFS('HISTORIQUE DOCS'!$H$4:$H$1000,'HISTORIQUE DOCS'!$F$4:$F$1000,A298,'HISTORIQUE DOCS'!$C$4:$C$1000,"FACTURE",'HISTORIQUE DOCS'!$P$4:$P$1000,"VALIDÉ")</f>
        <v/>
      </c>
      <c r="M298" s="170">
        <f>K298-L298</f>
        <v/>
      </c>
      <c r="N298" s="169" t="n"/>
      <c r="O298" s="164" t="n"/>
      <c r="P298" s="164" t="n"/>
    </row>
    <row r="299">
      <c r="A299" s="164" t="n"/>
      <c r="B299" s="164" t="n"/>
      <c r="C299" s="164" t="n"/>
      <c r="D299" s="164" t="n"/>
      <c r="E299" s="166" t="n"/>
      <c r="F299" s="166" t="n"/>
      <c r="G299" s="166" t="n"/>
      <c r="H299" s="167">
        <f>E299+F299+G299</f>
        <v/>
      </c>
      <c r="I299" s="168" t="n"/>
      <c r="J299" s="167">
        <f>H299*(1+I299)</f>
        <v/>
      </c>
      <c r="K299" s="169" t="n"/>
      <c r="L299" s="170">
        <f>SUMIFS('HISTORIQUE DOCS'!$H$4:$H$1000,'HISTORIQUE DOCS'!$F$4:$F$1000,A299,'HISTORIQUE DOCS'!$C$4:$C$1000,"FACTURE",'HISTORIQUE DOCS'!$P$4:$P$1000,"VALIDÉ")</f>
        <v/>
      </c>
      <c r="M299" s="170">
        <f>K299-L299</f>
        <v/>
      </c>
      <c r="N299" s="169" t="n"/>
      <c r="O299" s="164" t="n"/>
      <c r="P299" s="164" t="n"/>
    </row>
    <row r="300">
      <c r="A300" s="164" t="n"/>
      <c r="B300" s="164" t="n"/>
      <c r="C300" s="164" t="n"/>
      <c r="D300" s="164" t="n"/>
      <c r="E300" s="166" t="n"/>
      <c r="F300" s="166" t="n"/>
      <c r="G300" s="166" t="n"/>
      <c r="H300" s="167">
        <f>E300+F300+G300</f>
        <v/>
      </c>
      <c r="I300" s="168" t="n"/>
      <c r="J300" s="167">
        <f>H300*(1+I300)</f>
        <v/>
      </c>
      <c r="K300" s="169" t="n"/>
      <c r="L300" s="170">
        <f>SUMIFS('HISTORIQUE DOCS'!$H$4:$H$1000,'HISTORIQUE DOCS'!$F$4:$F$1000,A300,'HISTORIQUE DOCS'!$C$4:$C$1000,"FACTURE",'HISTORIQUE DOCS'!$P$4:$P$1000,"VALIDÉ")</f>
        <v/>
      </c>
      <c r="M300" s="170">
        <f>K300-L300</f>
        <v/>
      </c>
      <c r="N300" s="169" t="n"/>
      <c r="O300" s="164" t="n"/>
      <c r="P300" s="164" t="n"/>
    </row>
    <row r="301">
      <c r="A301" s="164" t="n"/>
      <c r="B301" s="164" t="n"/>
      <c r="C301" s="164" t="n"/>
      <c r="D301" s="164" t="n"/>
      <c r="E301" s="166" t="n"/>
      <c r="F301" s="166" t="n"/>
      <c r="G301" s="166" t="n"/>
      <c r="H301" s="167">
        <f>E301+F301+G301</f>
        <v/>
      </c>
      <c r="I301" s="168" t="n"/>
      <c r="J301" s="167">
        <f>H301*(1+I301)</f>
        <v/>
      </c>
      <c r="K301" s="169" t="n"/>
      <c r="L301" s="170">
        <f>SUMIFS('HISTORIQUE DOCS'!$H$4:$H$1000,'HISTORIQUE DOCS'!$F$4:$F$1000,A301,'HISTORIQUE DOCS'!$C$4:$C$1000,"FACTURE",'HISTORIQUE DOCS'!$P$4:$P$1000,"VALIDÉ")</f>
        <v/>
      </c>
      <c r="M301" s="170">
        <f>K301-L301</f>
        <v/>
      </c>
      <c r="N301" s="169" t="n"/>
      <c r="O301" s="164" t="n"/>
      <c r="P301" s="164" t="n"/>
    </row>
    <row r="302">
      <c r="A302" s="164" t="n"/>
      <c r="B302" s="164" t="n"/>
      <c r="C302" s="164" t="n"/>
      <c r="D302" s="164" t="n"/>
      <c r="E302" s="166" t="n"/>
      <c r="F302" s="166" t="n"/>
      <c r="G302" s="166" t="n"/>
      <c r="H302" s="167">
        <f>E302+F302+G302</f>
        <v/>
      </c>
      <c r="I302" s="168" t="n"/>
      <c r="J302" s="167">
        <f>H302*(1+I302)</f>
        <v/>
      </c>
      <c r="K302" s="169" t="n"/>
      <c r="L302" s="170">
        <f>SUMIFS('HISTORIQUE DOCS'!$H$4:$H$1000,'HISTORIQUE DOCS'!$F$4:$F$1000,A302,'HISTORIQUE DOCS'!$C$4:$C$1000,"FACTURE",'HISTORIQUE DOCS'!$P$4:$P$1000,"VALIDÉ")</f>
        <v/>
      </c>
      <c r="M302" s="170">
        <f>K302-L302</f>
        <v/>
      </c>
      <c r="N302" s="169" t="n"/>
      <c r="O302" s="164" t="n"/>
      <c r="P302" s="164" t="n"/>
    </row>
    <row r="303">
      <c r="A303" s="164" t="n"/>
      <c r="B303" s="164" t="n"/>
      <c r="C303" s="164" t="n"/>
      <c r="D303" s="164" t="n"/>
      <c r="E303" s="166" t="n"/>
      <c r="F303" s="166" t="n"/>
      <c r="G303" s="166" t="n"/>
      <c r="H303" s="167">
        <f>E303+F303+G303</f>
        <v/>
      </c>
      <c r="I303" s="168" t="n"/>
      <c r="J303" s="167">
        <f>H303*(1+I303)</f>
        <v/>
      </c>
      <c r="K303" s="169" t="n"/>
      <c r="L303" s="170">
        <f>SUMIFS('HISTORIQUE DOCS'!$H$4:$H$1000,'HISTORIQUE DOCS'!$F$4:$F$1000,A303,'HISTORIQUE DOCS'!$C$4:$C$1000,"FACTURE",'HISTORIQUE DOCS'!$P$4:$P$1000,"VALIDÉ")</f>
        <v/>
      </c>
      <c r="M303" s="170">
        <f>K303-L303</f>
        <v/>
      </c>
      <c r="N303" s="169" t="n"/>
      <c r="O303" s="164" t="n"/>
      <c r="P303" s="164" t="n"/>
    </row>
    <row r="304">
      <c r="A304" s="164" t="n"/>
      <c r="B304" s="164" t="n"/>
      <c r="C304" s="164" t="n"/>
      <c r="D304" s="164" t="n"/>
      <c r="E304" s="166" t="n"/>
      <c r="F304" s="166" t="n"/>
      <c r="G304" s="166" t="n"/>
      <c r="H304" s="167">
        <f>E304+F304+G304</f>
        <v/>
      </c>
      <c r="I304" s="168" t="n"/>
      <c r="J304" s="167">
        <f>H304*(1+I304)</f>
        <v/>
      </c>
      <c r="K304" s="169" t="n"/>
      <c r="L304" s="170">
        <f>SUMIFS('HISTORIQUE DOCS'!$H$4:$H$1000,'HISTORIQUE DOCS'!$F$4:$F$1000,A304,'HISTORIQUE DOCS'!$C$4:$C$1000,"FACTURE",'HISTORIQUE DOCS'!$P$4:$P$1000,"VALIDÉ")</f>
        <v/>
      </c>
      <c r="M304" s="170">
        <f>K304-L304</f>
        <v/>
      </c>
      <c r="N304" s="169" t="n"/>
      <c r="O304" s="164" t="n"/>
      <c r="P304" s="164" t="n"/>
    </row>
    <row r="305">
      <c r="A305" s="164" t="n"/>
      <c r="B305" s="164" t="n"/>
      <c r="C305" s="164" t="n"/>
      <c r="D305" s="164" t="n"/>
      <c r="E305" s="166" t="n"/>
      <c r="F305" s="166" t="n"/>
      <c r="G305" s="166" t="n"/>
      <c r="H305" s="167">
        <f>E305+F305+G305</f>
        <v/>
      </c>
      <c r="I305" s="168" t="n"/>
      <c r="J305" s="167">
        <f>H305*(1+I305)</f>
        <v/>
      </c>
      <c r="K305" s="169" t="n"/>
      <c r="L305" s="170">
        <f>SUMIFS('HISTORIQUE DOCS'!$H$4:$H$1000,'HISTORIQUE DOCS'!$F$4:$F$1000,A305,'HISTORIQUE DOCS'!$C$4:$C$1000,"FACTURE",'HISTORIQUE DOCS'!$P$4:$P$1000,"VALIDÉ")</f>
        <v/>
      </c>
      <c r="M305" s="170">
        <f>K305-L305</f>
        <v/>
      </c>
      <c r="N305" s="169" t="n"/>
      <c r="O305" s="164" t="n"/>
      <c r="P305" s="164" t="n"/>
    </row>
    <row r="306">
      <c r="A306" s="164" t="n"/>
      <c r="B306" s="164" t="n"/>
      <c r="C306" s="164" t="n"/>
      <c r="D306" s="164" t="n"/>
      <c r="E306" s="166" t="n"/>
      <c r="F306" s="166" t="n"/>
      <c r="G306" s="166" t="n"/>
      <c r="H306" s="167">
        <f>E306+F306+G306</f>
        <v/>
      </c>
      <c r="I306" s="168" t="n"/>
      <c r="J306" s="167">
        <f>H306*(1+I306)</f>
        <v/>
      </c>
      <c r="K306" s="169" t="n"/>
      <c r="L306" s="170">
        <f>SUMIFS('HISTORIQUE DOCS'!$H$4:$H$1000,'HISTORIQUE DOCS'!$F$4:$F$1000,A306,'HISTORIQUE DOCS'!$C$4:$C$1000,"FACTURE",'HISTORIQUE DOCS'!$P$4:$P$1000,"VALIDÉ")</f>
        <v/>
      </c>
      <c r="M306" s="170">
        <f>K306-L306</f>
        <v/>
      </c>
      <c r="N306" s="169" t="n"/>
      <c r="O306" s="164" t="n"/>
      <c r="P306" s="164" t="n"/>
    </row>
    <row r="307">
      <c r="A307" s="164" t="n"/>
      <c r="B307" s="164" t="n"/>
      <c r="C307" s="164" t="n"/>
      <c r="D307" s="164" t="n"/>
      <c r="E307" s="166" t="n"/>
      <c r="F307" s="166" t="n"/>
      <c r="G307" s="166" t="n"/>
      <c r="H307" s="167">
        <f>E307+F307+G307</f>
        <v/>
      </c>
      <c r="I307" s="168" t="n"/>
      <c r="J307" s="167">
        <f>H307*(1+I307)</f>
        <v/>
      </c>
      <c r="K307" s="169" t="n"/>
      <c r="L307" s="170">
        <f>SUMIFS('HISTORIQUE DOCS'!$H$4:$H$1000,'HISTORIQUE DOCS'!$F$4:$F$1000,A307,'HISTORIQUE DOCS'!$C$4:$C$1000,"FACTURE",'HISTORIQUE DOCS'!$P$4:$P$1000,"VALIDÉ")</f>
        <v/>
      </c>
      <c r="M307" s="170">
        <f>K307-L307</f>
        <v/>
      </c>
      <c r="N307" s="169" t="n"/>
      <c r="O307" s="164" t="n"/>
      <c r="P307" s="164" t="n"/>
    </row>
    <row r="308">
      <c r="A308" s="164" t="n"/>
      <c r="B308" s="164" t="n"/>
      <c r="C308" s="164" t="n"/>
      <c r="D308" s="164" t="n"/>
      <c r="E308" s="166" t="n"/>
      <c r="F308" s="166" t="n"/>
      <c r="G308" s="166" t="n"/>
      <c r="H308" s="167">
        <f>E308+F308+G308</f>
        <v/>
      </c>
      <c r="I308" s="168" t="n"/>
      <c r="J308" s="167">
        <f>H308*(1+I308)</f>
        <v/>
      </c>
      <c r="K308" s="169" t="n"/>
      <c r="L308" s="170">
        <f>SUMIFS('HISTORIQUE DOCS'!$H$4:$H$1000,'HISTORIQUE DOCS'!$F$4:$F$1000,A308,'HISTORIQUE DOCS'!$C$4:$C$1000,"FACTURE",'HISTORIQUE DOCS'!$P$4:$P$1000,"VALIDÉ")</f>
        <v/>
      </c>
      <c r="M308" s="170">
        <f>K308-L308</f>
        <v/>
      </c>
      <c r="N308" s="169" t="n"/>
      <c r="O308" s="164" t="n"/>
      <c r="P308" s="164" t="n"/>
    </row>
    <row r="309">
      <c r="A309" s="164" t="n"/>
      <c r="B309" s="164" t="n"/>
      <c r="C309" s="164" t="n"/>
      <c r="D309" s="164" t="n"/>
      <c r="E309" s="166" t="n"/>
      <c r="F309" s="166" t="n"/>
      <c r="G309" s="166" t="n"/>
      <c r="H309" s="167">
        <f>E309+F309+G309</f>
        <v/>
      </c>
      <c r="I309" s="168" t="n"/>
      <c r="J309" s="167">
        <f>H309*(1+I309)</f>
        <v/>
      </c>
      <c r="K309" s="169" t="n"/>
      <c r="L309" s="170">
        <f>SUMIFS('HISTORIQUE DOCS'!$H$4:$H$1000,'HISTORIQUE DOCS'!$F$4:$F$1000,A309,'HISTORIQUE DOCS'!$C$4:$C$1000,"FACTURE",'HISTORIQUE DOCS'!$P$4:$P$1000,"VALIDÉ")</f>
        <v/>
      </c>
      <c r="M309" s="170">
        <f>K309-L309</f>
        <v/>
      </c>
      <c r="N309" s="169" t="n"/>
      <c r="O309" s="164" t="n"/>
      <c r="P309" s="164" t="n"/>
    </row>
    <row r="310">
      <c r="A310" s="164" t="n"/>
      <c r="B310" s="164" t="n"/>
      <c r="C310" s="164" t="n"/>
      <c r="D310" s="164" t="n"/>
      <c r="E310" s="166" t="n"/>
      <c r="F310" s="166" t="n"/>
      <c r="G310" s="166" t="n"/>
      <c r="H310" s="167">
        <f>E310+F310+G310</f>
        <v/>
      </c>
      <c r="I310" s="168" t="n"/>
      <c r="J310" s="167">
        <f>H310*(1+I310)</f>
        <v/>
      </c>
      <c r="K310" s="169" t="n"/>
      <c r="L310" s="170">
        <f>SUMIFS('HISTORIQUE DOCS'!$H$4:$H$1000,'HISTORIQUE DOCS'!$F$4:$F$1000,A310,'HISTORIQUE DOCS'!$C$4:$C$1000,"FACTURE",'HISTORIQUE DOCS'!$P$4:$P$1000,"VALIDÉ")</f>
        <v/>
      </c>
      <c r="M310" s="170">
        <f>K310-L310</f>
        <v/>
      </c>
      <c r="N310" s="169" t="n"/>
      <c r="O310" s="164" t="n"/>
      <c r="P310" s="164" t="n"/>
    </row>
    <row r="311">
      <c r="A311" s="164" t="n"/>
      <c r="B311" s="164" t="n"/>
      <c r="C311" s="164" t="n"/>
      <c r="D311" s="164" t="n"/>
      <c r="E311" s="166" t="n"/>
      <c r="F311" s="166" t="n"/>
      <c r="G311" s="166" t="n"/>
      <c r="H311" s="167">
        <f>E311+F311+G311</f>
        <v/>
      </c>
      <c r="I311" s="168" t="n"/>
      <c r="J311" s="167">
        <f>H311*(1+I311)</f>
        <v/>
      </c>
      <c r="K311" s="169" t="n"/>
      <c r="L311" s="170">
        <f>SUMIFS('HISTORIQUE DOCS'!$H$4:$H$1000,'HISTORIQUE DOCS'!$F$4:$F$1000,A311,'HISTORIQUE DOCS'!$C$4:$C$1000,"FACTURE",'HISTORIQUE DOCS'!$P$4:$P$1000,"VALIDÉ")</f>
        <v/>
      </c>
      <c r="M311" s="170">
        <f>K311-L311</f>
        <v/>
      </c>
      <c r="N311" s="169" t="n"/>
      <c r="O311" s="164" t="n"/>
      <c r="P311" s="164" t="n"/>
    </row>
    <row r="312">
      <c r="A312" s="164" t="n"/>
      <c r="B312" s="164" t="n"/>
      <c r="C312" s="164" t="n"/>
      <c r="D312" s="164" t="n"/>
      <c r="E312" s="166" t="n"/>
      <c r="F312" s="166" t="n"/>
      <c r="G312" s="166" t="n"/>
      <c r="H312" s="167">
        <f>E312+F312+G312</f>
        <v/>
      </c>
      <c r="I312" s="168" t="n"/>
      <c r="J312" s="167">
        <f>H312*(1+I312)</f>
        <v/>
      </c>
      <c r="K312" s="169" t="n"/>
      <c r="L312" s="170">
        <f>SUMIFS('HISTORIQUE DOCS'!$H$4:$H$1000,'HISTORIQUE DOCS'!$F$4:$F$1000,A312,'HISTORIQUE DOCS'!$C$4:$C$1000,"FACTURE",'HISTORIQUE DOCS'!$P$4:$P$1000,"VALIDÉ")</f>
        <v/>
      </c>
      <c r="M312" s="170">
        <f>K312-L312</f>
        <v/>
      </c>
      <c r="N312" s="169" t="n"/>
      <c r="O312" s="164" t="n"/>
      <c r="P312" s="164" t="n"/>
    </row>
    <row r="313">
      <c r="A313" s="164" t="n"/>
      <c r="B313" s="164" t="n"/>
      <c r="C313" s="164" t="n"/>
      <c r="D313" s="164" t="n"/>
      <c r="E313" s="166" t="n"/>
      <c r="F313" s="166" t="n"/>
      <c r="G313" s="166" t="n"/>
      <c r="H313" s="167">
        <f>E313+F313+G313</f>
        <v/>
      </c>
      <c r="I313" s="168" t="n"/>
      <c r="J313" s="167">
        <f>H313*(1+I313)</f>
        <v/>
      </c>
      <c r="K313" s="169" t="n"/>
      <c r="L313" s="170">
        <f>SUMIFS('HISTORIQUE DOCS'!$H$4:$H$1000,'HISTORIQUE DOCS'!$F$4:$F$1000,A313,'HISTORIQUE DOCS'!$C$4:$C$1000,"FACTURE",'HISTORIQUE DOCS'!$P$4:$P$1000,"VALIDÉ")</f>
        <v/>
      </c>
      <c r="M313" s="170">
        <f>K313-L313</f>
        <v/>
      </c>
      <c r="N313" s="169" t="n"/>
      <c r="O313" s="164" t="n"/>
      <c r="P313" s="164" t="n"/>
    </row>
    <row r="314">
      <c r="A314" s="164" t="n"/>
      <c r="B314" s="164" t="n"/>
      <c r="C314" s="164" t="n"/>
      <c r="D314" s="164" t="n"/>
      <c r="E314" s="166" t="n"/>
      <c r="F314" s="166" t="n"/>
      <c r="G314" s="166" t="n"/>
      <c r="H314" s="167">
        <f>E314+F314+G314</f>
        <v/>
      </c>
      <c r="I314" s="168" t="n"/>
      <c r="J314" s="167">
        <f>H314*(1+I314)</f>
        <v/>
      </c>
      <c r="K314" s="169" t="n"/>
      <c r="L314" s="170">
        <f>SUMIFS('HISTORIQUE DOCS'!$H$4:$H$1000,'HISTORIQUE DOCS'!$F$4:$F$1000,A314,'HISTORIQUE DOCS'!$C$4:$C$1000,"FACTURE",'HISTORIQUE DOCS'!$P$4:$P$1000,"VALIDÉ")</f>
        <v/>
      </c>
      <c r="M314" s="170">
        <f>K314-L314</f>
        <v/>
      </c>
      <c r="N314" s="169" t="n"/>
      <c r="O314" s="164" t="n"/>
      <c r="P314" s="164" t="n"/>
    </row>
    <row r="315">
      <c r="A315" s="164" t="n"/>
      <c r="B315" s="164" t="n"/>
      <c r="C315" s="164" t="n"/>
      <c r="D315" s="164" t="n"/>
      <c r="E315" s="166" t="n"/>
      <c r="F315" s="166" t="n"/>
      <c r="G315" s="166" t="n"/>
      <c r="H315" s="167">
        <f>E315+F315+G315</f>
        <v/>
      </c>
      <c r="I315" s="168" t="n"/>
      <c r="J315" s="167">
        <f>H315*(1+I315)</f>
        <v/>
      </c>
      <c r="K315" s="169" t="n"/>
      <c r="L315" s="170">
        <f>SUMIFS('HISTORIQUE DOCS'!$H$4:$H$1000,'HISTORIQUE DOCS'!$F$4:$F$1000,A315,'HISTORIQUE DOCS'!$C$4:$C$1000,"FACTURE",'HISTORIQUE DOCS'!$P$4:$P$1000,"VALIDÉ")</f>
        <v/>
      </c>
      <c r="M315" s="170">
        <f>K315-L315</f>
        <v/>
      </c>
      <c r="N315" s="169" t="n"/>
      <c r="O315" s="164" t="n"/>
      <c r="P315" s="164" t="n"/>
    </row>
    <row r="316">
      <c r="A316" s="164" t="n"/>
      <c r="B316" s="164" t="n"/>
      <c r="C316" s="164" t="n"/>
      <c r="D316" s="164" t="n"/>
      <c r="E316" s="166" t="n"/>
      <c r="F316" s="166" t="n"/>
      <c r="G316" s="166" t="n"/>
      <c r="H316" s="167">
        <f>E316+F316+G316</f>
        <v/>
      </c>
      <c r="I316" s="168" t="n"/>
      <c r="J316" s="167">
        <f>H316*(1+I316)</f>
        <v/>
      </c>
      <c r="K316" s="169" t="n"/>
      <c r="L316" s="170">
        <f>SUMIFS('HISTORIQUE DOCS'!$H$4:$H$1000,'HISTORIQUE DOCS'!$F$4:$F$1000,A316,'HISTORIQUE DOCS'!$C$4:$C$1000,"FACTURE",'HISTORIQUE DOCS'!$P$4:$P$1000,"VALIDÉ")</f>
        <v/>
      </c>
      <c r="M316" s="170">
        <f>K316-L316</f>
        <v/>
      </c>
      <c r="N316" s="169" t="n"/>
      <c r="O316" s="164" t="n"/>
      <c r="P316" s="164" t="n"/>
    </row>
    <row r="317">
      <c r="A317" s="164" t="n"/>
      <c r="B317" s="164" t="n"/>
      <c r="C317" s="164" t="n"/>
      <c r="D317" s="164" t="n"/>
      <c r="E317" s="166" t="n"/>
      <c r="F317" s="166" t="n"/>
      <c r="G317" s="166" t="n"/>
      <c r="H317" s="167">
        <f>E317+F317+G317</f>
        <v/>
      </c>
      <c r="I317" s="168" t="n"/>
      <c r="J317" s="167">
        <f>H317*(1+I317)</f>
        <v/>
      </c>
      <c r="K317" s="169" t="n"/>
      <c r="L317" s="170">
        <f>SUMIFS('HISTORIQUE DOCS'!$H$4:$H$1000,'HISTORIQUE DOCS'!$F$4:$F$1000,A317,'HISTORIQUE DOCS'!$C$4:$C$1000,"FACTURE",'HISTORIQUE DOCS'!$P$4:$P$1000,"VALIDÉ")</f>
        <v/>
      </c>
      <c r="M317" s="170">
        <f>K317-L317</f>
        <v/>
      </c>
      <c r="N317" s="169" t="n"/>
      <c r="O317" s="164" t="n"/>
      <c r="P317" s="164" t="n"/>
    </row>
    <row r="318">
      <c r="A318" s="164" t="n"/>
      <c r="B318" s="164" t="n"/>
      <c r="C318" s="164" t="n"/>
      <c r="D318" s="164" t="n"/>
      <c r="E318" s="166" t="n"/>
      <c r="F318" s="166" t="n"/>
      <c r="G318" s="166" t="n"/>
      <c r="H318" s="167">
        <f>E318+F318+G318</f>
        <v/>
      </c>
      <c r="I318" s="168" t="n"/>
      <c r="J318" s="167">
        <f>H318*(1+I318)</f>
        <v/>
      </c>
      <c r="K318" s="169" t="n"/>
      <c r="L318" s="170">
        <f>SUMIFS('HISTORIQUE DOCS'!$H$4:$H$1000,'HISTORIQUE DOCS'!$F$4:$F$1000,A318,'HISTORIQUE DOCS'!$C$4:$C$1000,"FACTURE",'HISTORIQUE DOCS'!$P$4:$P$1000,"VALIDÉ")</f>
        <v/>
      </c>
      <c r="M318" s="170">
        <f>K318-L318</f>
        <v/>
      </c>
      <c r="N318" s="169" t="n"/>
      <c r="O318" s="164" t="n"/>
      <c r="P318" s="164" t="n"/>
    </row>
    <row r="319">
      <c r="A319" s="164" t="n"/>
      <c r="B319" s="164" t="n"/>
      <c r="C319" s="164" t="n"/>
      <c r="D319" s="164" t="n"/>
      <c r="E319" s="166" t="n"/>
      <c r="F319" s="166" t="n"/>
      <c r="G319" s="166" t="n"/>
      <c r="H319" s="167">
        <f>E319+F319+G319</f>
        <v/>
      </c>
      <c r="I319" s="168" t="n"/>
      <c r="J319" s="167">
        <f>H319*(1+I319)</f>
        <v/>
      </c>
      <c r="K319" s="169" t="n"/>
      <c r="L319" s="170">
        <f>SUMIFS('HISTORIQUE DOCS'!$H$4:$H$1000,'HISTORIQUE DOCS'!$F$4:$F$1000,A319,'HISTORIQUE DOCS'!$C$4:$C$1000,"FACTURE",'HISTORIQUE DOCS'!$P$4:$P$1000,"VALIDÉ")</f>
        <v/>
      </c>
      <c r="M319" s="170">
        <f>K319-L319</f>
        <v/>
      </c>
      <c r="N319" s="169" t="n"/>
      <c r="O319" s="164" t="n"/>
      <c r="P319" s="164" t="n"/>
    </row>
    <row r="320">
      <c r="A320" s="164" t="n"/>
      <c r="B320" s="164" t="n"/>
      <c r="C320" s="164" t="n"/>
      <c r="D320" s="164" t="n"/>
      <c r="E320" s="166" t="n"/>
      <c r="F320" s="166" t="n"/>
      <c r="G320" s="166" t="n"/>
      <c r="H320" s="167">
        <f>E320+F320+G320</f>
        <v/>
      </c>
      <c r="I320" s="168" t="n"/>
      <c r="J320" s="167">
        <f>H320*(1+I320)</f>
        <v/>
      </c>
      <c r="K320" s="169" t="n"/>
      <c r="L320" s="170">
        <f>SUMIFS('HISTORIQUE DOCS'!$H$4:$H$1000,'HISTORIQUE DOCS'!$F$4:$F$1000,A320,'HISTORIQUE DOCS'!$C$4:$C$1000,"FACTURE",'HISTORIQUE DOCS'!$P$4:$P$1000,"VALIDÉ")</f>
        <v/>
      </c>
      <c r="M320" s="170">
        <f>K320-L320</f>
        <v/>
      </c>
      <c r="N320" s="169" t="n"/>
      <c r="O320" s="164" t="n"/>
      <c r="P320" s="164" t="n"/>
    </row>
    <row r="321">
      <c r="A321" s="164" t="n"/>
      <c r="B321" s="164" t="n"/>
      <c r="C321" s="164" t="n"/>
      <c r="D321" s="164" t="n"/>
      <c r="E321" s="166" t="n"/>
      <c r="F321" s="166" t="n"/>
      <c r="G321" s="166" t="n"/>
      <c r="H321" s="167">
        <f>E321+F321+G321</f>
        <v/>
      </c>
      <c r="I321" s="168" t="n"/>
      <c r="J321" s="167">
        <f>H321*(1+I321)</f>
        <v/>
      </c>
      <c r="K321" s="169" t="n"/>
      <c r="L321" s="170">
        <f>SUMIFS('HISTORIQUE DOCS'!$H$4:$H$1000,'HISTORIQUE DOCS'!$F$4:$F$1000,A321,'HISTORIQUE DOCS'!$C$4:$C$1000,"FACTURE",'HISTORIQUE DOCS'!$P$4:$P$1000,"VALIDÉ")</f>
        <v/>
      </c>
      <c r="M321" s="170">
        <f>K321-L321</f>
        <v/>
      </c>
      <c r="N321" s="169" t="n"/>
      <c r="O321" s="164" t="n"/>
      <c r="P321" s="164" t="n"/>
    </row>
    <row r="322">
      <c r="A322" s="164" t="n"/>
      <c r="B322" s="164" t="n"/>
      <c r="C322" s="164" t="n"/>
      <c r="D322" s="164" t="n"/>
      <c r="E322" s="166" t="n"/>
      <c r="F322" s="166" t="n"/>
      <c r="G322" s="166" t="n"/>
      <c r="H322" s="167">
        <f>E322+F322+G322</f>
        <v/>
      </c>
      <c r="I322" s="168" t="n"/>
      <c r="J322" s="167">
        <f>H322*(1+I322)</f>
        <v/>
      </c>
      <c r="K322" s="169" t="n"/>
      <c r="L322" s="170">
        <f>SUMIFS('HISTORIQUE DOCS'!$H$4:$H$1000,'HISTORIQUE DOCS'!$F$4:$F$1000,A322,'HISTORIQUE DOCS'!$C$4:$C$1000,"FACTURE",'HISTORIQUE DOCS'!$P$4:$P$1000,"VALIDÉ")</f>
        <v/>
      </c>
      <c r="M322" s="170">
        <f>K322-L322</f>
        <v/>
      </c>
      <c r="N322" s="169" t="n"/>
      <c r="O322" s="164" t="n"/>
      <c r="P322" s="164" t="n"/>
    </row>
    <row r="323">
      <c r="A323" s="164" t="n"/>
      <c r="B323" s="164" t="n"/>
      <c r="C323" s="164" t="n"/>
      <c r="D323" s="164" t="n"/>
      <c r="E323" s="166" t="n"/>
      <c r="F323" s="166" t="n"/>
      <c r="G323" s="166" t="n"/>
      <c r="H323" s="167">
        <f>E323+F323+G323</f>
        <v/>
      </c>
      <c r="I323" s="168" t="n"/>
      <c r="J323" s="167">
        <f>H323*(1+I323)</f>
        <v/>
      </c>
      <c r="K323" s="169" t="n"/>
      <c r="L323" s="170">
        <f>SUMIFS('HISTORIQUE DOCS'!$H$4:$H$1000,'HISTORIQUE DOCS'!$F$4:$F$1000,A323,'HISTORIQUE DOCS'!$C$4:$C$1000,"FACTURE",'HISTORIQUE DOCS'!$P$4:$P$1000,"VALIDÉ")</f>
        <v/>
      </c>
      <c r="M323" s="170">
        <f>K323-L323</f>
        <v/>
      </c>
      <c r="N323" s="169" t="n"/>
      <c r="O323" s="164" t="n"/>
      <c r="P323" s="164" t="n"/>
    </row>
    <row r="324">
      <c r="A324" s="164" t="n"/>
      <c r="B324" s="164" t="n"/>
      <c r="C324" s="164" t="n"/>
      <c r="D324" s="164" t="n"/>
      <c r="E324" s="166" t="n"/>
      <c r="F324" s="166" t="n"/>
      <c r="G324" s="166" t="n"/>
      <c r="H324" s="167">
        <f>E324+F324+G324</f>
        <v/>
      </c>
      <c r="I324" s="168" t="n"/>
      <c r="J324" s="167">
        <f>H324*(1+I324)</f>
        <v/>
      </c>
      <c r="K324" s="169" t="n"/>
      <c r="L324" s="170">
        <f>SUMIFS('HISTORIQUE DOCS'!$H$4:$H$1000,'HISTORIQUE DOCS'!$F$4:$F$1000,A324,'HISTORIQUE DOCS'!$C$4:$C$1000,"FACTURE",'HISTORIQUE DOCS'!$P$4:$P$1000,"VALIDÉ")</f>
        <v/>
      </c>
      <c r="M324" s="170">
        <f>K324-L324</f>
        <v/>
      </c>
      <c r="N324" s="169" t="n"/>
      <c r="O324" s="164" t="n"/>
      <c r="P324" s="164" t="n"/>
    </row>
    <row r="325">
      <c r="A325" s="164" t="n"/>
      <c r="B325" s="164" t="n"/>
      <c r="C325" s="164" t="n"/>
      <c r="D325" s="164" t="n"/>
      <c r="E325" s="166" t="n"/>
      <c r="F325" s="166" t="n"/>
      <c r="G325" s="166" t="n"/>
      <c r="H325" s="167">
        <f>E325+F325+G325</f>
        <v/>
      </c>
      <c r="I325" s="168" t="n"/>
      <c r="J325" s="167">
        <f>H325*(1+I325)</f>
        <v/>
      </c>
      <c r="K325" s="169" t="n"/>
      <c r="L325" s="170">
        <f>SUMIFS('HISTORIQUE DOCS'!$H$4:$H$1000,'HISTORIQUE DOCS'!$F$4:$F$1000,A325,'HISTORIQUE DOCS'!$C$4:$C$1000,"FACTURE",'HISTORIQUE DOCS'!$P$4:$P$1000,"VALIDÉ")</f>
        <v/>
      </c>
      <c r="M325" s="170">
        <f>K325-L325</f>
        <v/>
      </c>
      <c r="N325" s="169" t="n"/>
      <c r="O325" s="164" t="n"/>
      <c r="P325" s="164" t="n"/>
    </row>
    <row r="326">
      <c r="A326" s="164" t="n"/>
      <c r="B326" s="164" t="n"/>
      <c r="C326" s="164" t="n"/>
      <c r="D326" s="164" t="n"/>
      <c r="E326" s="166" t="n"/>
      <c r="F326" s="166" t="n"/>
      <c r="G326" s="166" t="n"/>
      <c r="H326" s="167">
        <f>E326+F326+G326</f>
        <v/>
      </c>
      <c r="I326" s="168" t="n"/>
      <c r="J326" s="167">
        <f>H326*(1+I326)</f>
        <v/>
      </c>
      <c r="K326" s="169" t="n"/>
      <c r="L326" s="170">
        <f>SUMIFS('HISTORIQUE DOCS'!$H$4:$H$1000,'HISTORIQUE DOCS'!$F$4:$F$1000,A326,'HISTORIQUE DOCS'!$C$4:$C$1000,"FACTURE",'HISTORIQUE DOCS'!$P$4:$P$1000,"VALIDÉ")</f>
        <v/>
      </c>
      <c r="M326" s="170">
        <f>K326-L326</f>
        <v/>
      </c>
      <c r="N326" s="169" t="n"/>
      <c r="O326" s="164" t="n"/>
      <c r="P326" s="164" t="n"/>
    </row>
    <row r="327">
      <c r="A327" s="164" t="n"/>
      <c r="B327" s="164" t="n"/>
      <c r="C327" s="164" t="n"/>
      <c r="D327" s="164" t="n"/>
      <c r="E327" s="166" t="n"/>
      <c r="F327" s="166" t="n"/>
      <c r="G327" s="166" t="n"/>
      <c r="H327" s="167">
        <f>E327+F327+G327</f>
        <v/>
      </c>
      <c r="I327" s="168" t="n"/>
      <c r="J327" s="167">
        <f>H327*(1+I327)</f>
        <v/>
      </c>
      <c r="K327" s="169" t="n"/>
      <c r="L327" s="170">
        <f>SUMIFS('HISTORIQUE DOCS'!$H$4:$H$1000,'HISTORIQUE DOCS'!$F$4:$F$1000,A327,'HISTORIQUE DOCS'!$C$4:$C$1000,"FACTURE",'HISTORIQUE DOCS'!$P$4:$P$1000,"VALIDÉ")</f>
        <v/>
      </c>
      <c r="M327" s="170">
        <f>K327-L327</f>
        <v/>
      </c>
      <c r="N327" s="169" t="n"/>
      <c r="O327" s="164" t="n"/>
      <c r="P327" s="164" t="n"/>
    </row>
    <row r="328">
      <c r="A328" s="164" t="n"/>
      <c r="B328" s="164" t="n"/>
      <c r="C328" s="164" t="n"/>
      <c r="D328" s="164" t="n"/>
      <c r="E328" s="166" t="n"/>
      <c r="F328" s="166" t="n"/>
      <c r="G328" s="166" t="n"/>
      <c r="H328" s="167">
        <f>E328+F328+G328</f>
        <v/>
      </c>
      <c r="I328" s="168" t="n"/>
      <c r="J328" s="167">
        <f>H328*(1+I328)</f>
        <v/>
      </c>
      <c r="K328" s="169" t="n"/>
      <c r="L328" s="170">
        <f>SUMIFS('HISTORIQUE DOCS'!$H$4:$H$1000,'HISTORIQUE DOCS'!$F$4:$F$1000,A328,'HISTORIQUE DOCS'!$C$4:$C$1000,"FACTURE",'HISTORIQUE DOCS'!$P$4:$P$1000,"VALIDÉ")</f>
        <v/>
      </c>
      <c r="M328" s="170">
        <f>K328-L328</f>
        <v/>
      </c>
      <c r="N328" s="169" t="n"/>
      <c r="O328" s="164" t="n"/>
      <c r="P328" s="164" t="n"/>
    </row>
    <row r="329">
      <c r="A329" s="164" t="n"/>
      <c r="B329" s="164" t="n"/>
      <c r="C329" s="164" t="n"/>
      <c r="D329" s="164" t="n"/>
      <c r="E329" s="166" t="n"/>
      <c r="F329" s="166" t="n"/>
      <c r="G329" s="166" t="n"/>
      <c r="H329" s="167">
        <f>E329+F329+G329</f>
        <v/>
      </c>
      <c r="I329" s="168" t="n"/>
      <c r="J329" s="167">
        <f>H329*(1+I329)</f>
        <v/>
      </c>
      <c r="K329" s="169" t="n"/>
      <c r="L329" s="170">
        <f>SUMIFS('HISTORIQUE DOCS'!$H$4:$H$1000,'HISTORIQUE DOCS'!$F$4:$F$1000,A329,'HISTORIQUE DOCS'!$C$4:$C$1000,"FACTURE",'HISTORIQUE DOCS'!$P$4:$P$1000,"VALIDÉ")</f>
        <v/>
      </c>
      <c r="M329" s="170">
        <f>K329-L329</f>
        <v/>
      </c>
      <c r="N329" s="169" t="n"/>
      <c r="O329" s="164" t="n"/>
      <c r="P329" s="164" t="n"/>
    </row>
    <row r="330">
      <c r="A330" s="164" t="n"/>
      <c r="B330" s="164" t="n"/>
      <c r="C330" s="164" t="n"/>
      <c r="D330" s="164" t="n"/>
      <c r="E330" s="166" t="n"/>
      <c r="F330" s="166" t="n"/>
      <c r="G330" s="166" t="n"/>
      <c r="H330" s="167">
        <f>E330+F330+G330</f>
        <v/>
      </c>
      <c r="I330" s="168" t="n"/>
      <c r="J330" s="167">
        <f>H330*(1+I330)</f>
        <v/>
      </c>
      <c r="K330" s="169" t="n"/>
      <c r="L330" s="170">
        <f>SUMIFS('HISTORIQUE DOCS'!$H$4:$H$1000,'HISTORIQUE DOCS'!$F$4:$F$1000,A330,'HISTORIQUE DOCS'!$C$4:$C$1000,"FACTURE",'HISTORIQUE DOCS'!$P$4:$P$1000,"VALIDÉ")</f>
        <v/>
      </c>
      <c r="M330" s="170">
        <f>K330-L330</f>
        <v/>
      </c>
      <c r="N330" s="169" t="n"/>
      <c r="O330" s="164" t="n"/>
      <c r="P330" s="164" t="n"/>
    </row>
    <row r="331">
      <c r="A331" s="164" t="n"/>
      <c r="B331" s="164" t="n"/>
      <c r="C331" s="164" t="n"/>
      <c r="D331" s="164" t="n"/>
      <c r="E331" s="166" t="n"/>
      <c r="F331" s="166" t="n"/>
      <c r="G331" s="166" t="n"/>
      <c r="H331" s="167">
        <f>E331+F331+G331</f>
        <v/>
      </c>
      <c r="I331" s="168" t="n"/>
      <c r="J331" s="167">
        <f>H331*(1+I331)</f>
        <v/>
      </c>
      <c r="K331" s="169" t="n"/>
      <c r="L331" s="170">
        <f>SUMIFS('HISTORIQUE DOCS'!$H$4:$H$1000,'HISTORIQUE DOCS'!$F$4:$F$1000,A331,'HISTORIQUE DOCS'!$C$4:$C$1000,"FACTURE",'HISTORIQUE DOCS'!$P$4:$P$1000,"VALIDÉ")</f>
        <v/>
      </c>
      <c r="M331" s="170">
        <f>K331-L331</f>
        <v/>
      </c>
      <c r="N331" s="169" t="n"/>
      <c r="O331" s="164" t="n"/>
      <c r="P331" s="164" t="n"/>
    </row>
    <row r="332">
      <c r="A332" s="164" t="n"/>
      <c r="B332" s="164" t="n"/>
      <c r="C332" s="164" t="n"/>
      <c r="D332" s="164" t="n"/>
      <c r="E332" s="166" t="n"/>
      <c r="F332" s="166" t="n"/>
      <c r="G332" s="166" t="n"/>
      <c r="H332" s="167">
        <f>E332+F332+G332</f>
        <v/>
      </c>
      <c r="I332" s="168" t="n"/>
      <c r="J332" s="167">
        <f>H332*(1+I332)</f>
        <v/>
      </c>
      <c r="K332" s="169" t="n"/>
      <c r="L332" s="170">
        <f>SUMIFS('HISTORIQUE DOCS'!$H$4:$H$1000,'HISTORIQUE DOCS'!$F$4:$F$1000,A332,'HISTORIQUE DOCS'!$C$4:$C$1000,"FACTURE",'HISTORIQUE DOCS'!$P$4:$P$1000,"VALIDÉ")</f>
        <v/>
      </c>
      <c r="M332" s="170">
        <f>K332-L332</f>
        <v/>
      </c>
      <c r="N332" s="169" t="n"/>
      <c r="O332" s="164" t="n"/>
      <c r="P332" s="164" t="n"/>
    </row>
    <row r="333">
      <c r="A333" s="164" t="n"/>
      <c r="B333" s="164" t="n"/>
      <c r="C333" s="164" t="n"/>
      <c r="D333" s="164" t="n"/>
      <c r="E333" s="166" t="n"/>
      <c r="F333" s="166" t="n"/>
      <c r="G333" s="166" t="n"/>
      <c r="H333" s="167">
        <f>E333+F333+G333</f>
        <v/>
      </c>
      <c r="I333" s="168" t="n"/>
      <c r="J333" s="167">
        <f>H333*(1+I333)</f>
        <v/>
      </c>
      <c r="K333" s="169" t="n"/>
      <c r="L333" s="170">
        <f>SUMIFS('HISTORIQUE DOCS'!$H$4:$H$1000,'HISTORIQUE DOCS'!$F$4:$F$1000,A333,'HISTORIQUE DOCS'!$C$4:$C$1000,"FACTURE",'HISTORIQUE DOCS'!$P$4:$P$1000,"VALIDÉ")</f>
        <v/>
      </c>
      <c r="M333" s="170">
        <f>K333-L333</f>
        <v/>
      </c>
      <c r="N333" s="169" t="n"/>
      <c r="O333" s="164" t="n"/>
      <c r="P333" s="164" t="n"/>
    </row>
    <row r="334">
      <c r="A334" s="164" t="n"/>
      <c r="B334" s="164" t="n"/>
      <c r="C334" s="164" t="n"/>
      <c r="D334" s="164" t="n"/>
      <c r="E334" s="166" t="n"/>
      <c r="F334" s="166" t="n"/>
      <c r="G334" s="166" t="n"/>
      <c r="H334" s="167">
        <f>E334+F334+G334</f>
        <v/>
      </c>
      <c r="I334" s="168" t="n"/>
      <c r="J334" s="167">
        <f>H334*(1+I334)</f>
        <v/>
      </c>
      <c r="K334" s="169" t="n"/>
      <c r="L334" s="170">
        <f>SUMIFS('HISTORIQUE DOCS'!$H$4:$H$1000,'HISTORIQUE DOCS'!$F$4:$F$1000,A334,'HISTORIQUE DOCS'!$C$4:$C$1000,"FACTURE",'HISTORIQUE DOCS'!$P$4:$P$1000,"VALIDÉ")</f>
        <v/>
      </c>
      <c r="M334" s="170">
        <f>K334-L334</f>
        <v/>
      </c>
      <c r="N334" s="169" t="n"/>
      <c r="O334" s="164" t="n"/>
      <c r="P334" s="164" t="n"/>
    </row>
    <row r="335">
      <c r="A335" s="164" t="n"/>
      <c r="B335" s="164" t="n"/>
      <c r="C335" s="164" t="n"/>
      <c r="D335" s="164" t="n"/>
      <c r="E335" s="166" t="n"/>
      <c r="F335" s="166" t="n"/>
      <c r="G335" s="166" t="n"/>
      <c r="H335" s="167">
        <f>E335+F335+G335</f>
        <v/>
      </c>
      <c r="I335" s="168" t="n"/>
      <c r="J335" s="167">
        <f>H335*(1+I335)</f>
        <v/>
      </c>
      <c r="K335" s="169" t="n"/>
      <c r="L335" s="170">
        <f>SUMIFS('HISTORIQUE DOCS'!$H$4:$H$1000,'HISTORIQUE DOCS'!$F$4:$F$1000,A335,'HISTORIQUE DOCS'!$C$4:$C$1000,"FACTURE",'HISTORIQUE DOCS'!$P$4:$P$1000,"VALIDÉ")</f>
        <v/>
      </c>
      <c r="M335" s="170">
        <f>K335-L335</f>
        <v/>
      </c>
      <c r="N335" s="169" t="n"/>
      <c r="O335" s="164" t="n"/>
      <c r="P335" s="164" t="n"/>
    </row>
    <row r="336">
      <c r="A336" s="164" t="n"/>
      <c r="B336" s="164" t="n"/>
      <c r="C336" s="164" t="n"/>
      <c r="D336" s="164" t="n"/>
      <c r="E336" s="166" t="n"/>
      <c r="F336" s="166" t="n"/>
      <c r="G336" s="166" t="n"/>
      <c r="H336" s="167">
        <f>E336+F336+G336</f>
        <v/>
      </c>
      <c r="I336" s="168" t="n"/>
      <c r="J336" s="167">
        <f>H336*(1+I336)</f>
        <v/>
      </c>
      <c r="K336" s="169" t="n"/>
      <c r="L336" s="170">
        <f>SUMIFS('HISTORIQUE DOCS'!$H$4:$H$1000,'HISTORIQUE DOCS'!$F$4:$F$1000,A336,'HISTORIQUE DOCS'!$C$4:$C$1000,"FACTURE",'HISTORIQUE DOCS'!$P$4:$P$1000,"VALIDÉ")</f>
        <v/>
      </c>
      <c r="M336" s="170">
        <f>K336-L336</f>
        <v/>
      </c>
      <c r="N336" s="169" t="n"/>
      <c r="O336" s="164" t="n"/>
      <c r="P336" s="164" t="n"/>
    </row>
    <row r="337">
      <c r="A337" s="164" t="n"/>
      <c r="B337" s="164" t="n"/>
      <c r="C337" s="164" t="n"/>
      <c r="D337" s="164" t="n"/>
      <c r="E337" s="166" t="n"/>
      <c r="F337" s="166" t="n"/>
      <c r="G337" s="166" t="n"/>
      <c r="H337" s="167">
        <f>E337+F337+G337</f>
        <v/>
      </c>
      <c r="I337" s="168" t="n"/>
      <c r="J337" s="167">
        <f>H337*(1+I337)</f>
        <v/>
      </c>
      <c r="K337" s="169" t="n"/>
      <c r="L337" s="170">
        <f>SUMIFS('HISTORIQUE DOCS'!$H$4:$H$1000,'HISTORIQUE DOCS'!$F$4:$F$1000,A337,'HISTORIQUE DOCS'!$C$4:$C$1000,"FACTURE",'HISTORIQUE DOCS'!$P$4:$P$1000,"VALIDÉ")</f>
        <v/>
      </c>
      <c r="M337" s="170">
        <f>K337-L337</f>
        <v/>
      </c>
      <c r="N337" s="169" t="n"/>
      <c r="O337" s="164" t="n"/>
      <c r="P337" s="164" t="n"/>
    </row>
    <row r="338">
      <c r="A338" s="164" t="n"/>
      <c r="B338" s="164" t="n"/>
      <c r="C338" s="164" t="n"/>
      <c r="D338" s="164" t="n"/>
      <c r="E338" s="166" t="n"/>
      <c r="F338" s="166" t="n"/>
      <c r="G338" s="166" t="n"/>
      <c r="H338" s="167">
        <f>E338+F338+G338</f>
        <v/>
      </c>
      <c r="I338" s="168" t="n"/>
      <c r="J338" s="167">
        <f>H338*(1+I338)</f>
        <v/>
      </c>
      <c r="K338" s="169" t="n"/>
      <c r="L338" s="170">
        <f>SUMIFS('HISTORIQUE DOCS'!$H$4:$H$1000,'HISTORIQUE DOCS'!$F$4:$F$1000,A338,'HISTORIQUE DOCS'!$C$4:$C$1000,"FACTURE",'HISTORIQUE DOCS'!$P$4:$P$1000,"VALIDÉ")</f>
        <v/>
      </c>
      <c r="M338" s="170">
        <f>K338-L338</f>
        <v/>
      </c>
      <c r="N338" s="169" t="n"/>
      <c r="O338" s="164" t="n"/>
      <c r="P338" s="164" t="n"/>
    </row>
    <row r="339">
      <c r="A339" s="164" t="n"/>
      <c r="B339" s="164" t="n"/>
      <c r="C339" s="164" t="n"/>
      <c r="D339" s="164" t="n"/>
      <c r="E339" s="166" t="n"/>
      <c r="F339" s="166" t="n"/>
      <c r="G339" s="166" t="n"/>
      <c r="H339" s="167">
        <f>E339+F339+G339</f>
        <v/>
      </c>
      <c r="I339" s="168" t="n"/>
      <c r="J339" s="167">
        <f>H339*(1+I339)</f>
        <v/>
      </c>
      <c r="K339" s="169" t="n"/>
      <c r="L339" s="170">
        <f>SUMIFS('HISTORIQUE DOCS'!$H$4:$H$1000,'HISTORIQUE DOCS'!$F$4:$F$1000,A339,'HISTORIQUE DOCS'!$C$4:$C$1000,"FACTURE",'HISTORIQUE DOCS'!$P$4:$P$1000,"VALIDÉ")</f>
        <v/>
      </c>
      <c r="M339" s="170">
        <f>K339-L339</f>
        <v/>
      </c>
      <c r="N339" s="169" t="n"/>
      <c r="O339" s="164" t="n"/>
      <c r="P339" s="164" t="n"/>
    </row>
    <row r="340">
      <c r="A340" s="164" t="n"/>
      <c r="B340" s="164" t="n"/>
      <c r="C340" s="164" t="n"/>
      <c r="D340" s="164" t="n"/>
      <c r="E340" s="166" t="n"/>
      <c r="F340" s="166" t="n"/>
      <c r="G340" s="166" t="n"/>
      <c r="H340" s="167">
        <f>E340+F340+G340</f>
        <v/>
      </c>
      <c r="I340" s="168" t="n"/>
      <c r="J340" s="167">
        <f>H340*(1+I340)</f>
        <v/>
      </c>
      <c r="K340" s="169" t="n"/>
      <c r="L340" s="170">
        <f>SUMIFS('HISTORIQUE DOCS'!$H$4:$H$1000,'HISTORIQUE DOCS'!$F$4:$F$1000,A340,'HISTORIQUE DOCS'!$C$4:$C$1000,"FACTURE",'HISTORIQUE DOCS'!$P$4:$P$1000,"VALIDÉ")</f>
        <v/>
      </c>
      <c r="M340" s="170">
        <f>K340-L340</f>
        <v/>
      </c>
      <c r="N340" s="169" t="n"/>
      <c r="O340" s="164" t="n"/>
      <c r="P340" s="164" t="n"/>
    </row>
    <row r="341">
      <c r="A341" s="164" t="n"/>
      <c r="B341" s="164" t="n"/>
      <c r="C341" s="164" t="n"/>
      <c r="D341" s="164" t="n"/>
      <c r="E341" s="166" t="n"/>
      <c r="F341" s="166" t="n"/>
      <c r="G341" s="166" t="n"/>
      <c r="H341" s="167">
        <f>E341+F341+G341</f>
        <v/>
      </c>
      <c r="I341" s="168" t="n"/>
      <c r="J341" s="167">
        <f>H341*(1+I341)</f>
        <v/>
      </c>
      <c r="K341" s="169" t="n"/>
      <c r="L341" s="170">
        <f>SUMIFS('HISTORIQUE DOCS'!$H$4:$H$1000,'HISTORIQUE DOCS'!$F$4:$F$1000,A341,'HISTORIQUE DOCS'!$C$4:$C$1000,"FACTURE",'HISTORIQUE DOCS'!$P$4:$P$1000,"VALIDÉ")</f>
        <v/>
      </c>
      <c r="M341" s="170">
        <f>K341-L341</f>
        <v/>
      </c>
      <c r="N341" s="169" t="n"/>
      <c r="O341" s="164" t="n"/>
      <c r="P341" s="164" t="n"/>
    </row>
    <row r="342">
      <c r="A342" s="164" t="n"/>
      <c r="B342" s="164" t="n"/>
      <c r="C342" s="164" t="n"/>
      <c r="D342" s="164" t="n"/>
      <c r="E342" s="166" t="n"/>
      <c r="F342" s="166" t="n"/>
      <c r="G342" s="166" t="n"/>
      <c r="H342" s="167">
        <f>E342+F342+G342</f>
        <v/>
      </c>
      <c r="I342" s="168" t="n"/>
      <c r="J342" s="167">
        <f>H342*(1+I342)</f>
        <v/>
      </c>
      <c r="K342" s="169" t="n"/>
      <c r="L342" s="170">
        <f>SUMIFS('HISTORIQUE DOCS'!$H$4:$H$1000,'HISTORIQUE DOCS'!$F$4:$F$1000,A342,'HISTORIQUE DOCS'!$C$4:$C$1000,"FACTURE",'HISTORIQUE DOCS'!$P$4:$P$1000,"VALIDÉ")</f>
        <v/>
      </c>
      <c r="M342" s="170">
        <f>K342-L342</f>
        <v/>
      </c>
      <c r="N342" s="169" t="n"/>
      <c r="O342" s="164" t="n"/>
      <c r="P342" s="164" t="n"/>
    </row>
    <row r="343">
      <c r="A343" s="164" t="n"/>
      <c r="B343" s="164" t="n"/>
      <c r="C343" s="164" t="n"/>
      <c r="D343" s="164" t="n"/>
      <c r="E343" s="166" t="n"/>
      <c r="F343" s="166" t="n"/>
      <c r="G343" s="166" t="n"/>
      <c r="H343" s="167">
        <f>E343+F343+G343</f>
        <v/>
      </c>
      <c r="I343" s="168" t="n"/>
      <c r="J343" s="167">
        <f>H343*(1+I343)</f>
        <v/>
      </c>
      <c r="K343" s="169" t="n"/>
      <c r="L343" s="170">
        <f>SUMIFS('HISTORIQUE DOCS'!$H$4:$H$1000,'HISTORIQUE DOCS'!$F$4:$F$1000,A343,'HISTORIQUE DOCS'!$C$4:$C$1000,"FACTURE",'HISTORIQUE DOCS'!$P$4:$P$1000,"VALIDÉ")</f>
        <v/>
      </c>
      <c r="M343" s="170">
        <f>K343-L343</f>
        <v/>
      </c>
      <c r="N343" s="169" t="n"/>
      <c r="O343" s="164" t="n"/>
      <c r="P343" s="164" t="n"/>
    </row>
    <row r="344">
      <c r="A344" s="164" t="n"/>
      <c r="B344" s="164" t="n"/>
      <c r="C344" s="164" t="n"/>
      <c r="D344" s="164" t="n"/>
      <c r="E344" s="166" t="n"/>
      <c r="F344" s="166" t="n"/>
      <c r="G344" s="166" t="n"/>
      <c r="H344" s="167">
        <f>E344+F344+G344</f>
        <v/>
      </c>
      <c r="I344" s="168" t="n"/>
      <c r="J344" s="167">
        <f>H344*(1+I344)</f>
        <v/>
      </c>
      <c r="K344" s="169" t="n"/>
      <c r="L344" s="170">
        <f>SUMIFS('HISTORIQUE DOCS'!$H$4:$H$1000,'HISTORIQUE DOCS'!$F$4:$F$1000,A344,'HISTORIQUE DOCS'!$C$4:$C$1000,"FACTURE",'HISTORIQUE DOCS'!$P$4:$P$1000,"VALIDÉ")</f>
        <v/>
      </c>
      <c r="M344" s="170">
        <f>K344-L344</f>
        <v/>
      </c>
      <c r="N344" s="169" t="n"/>
      <c r="O344" s="164" t="n"/>
      <c r="P344" s="164" t="n"/>
    </row>
    <row r="345">
      <c r="A345" s="164" t="n"/>
      <c r="B345" s="164" t="n"/>
      <c r="C345" s="164" t="n"/>
      <c r="D345" s="164" t="n"/>
      <c r="E345" s="166" t="n"/>
      <c r="F345" s="166" t="n"/>
      <c r="G345" s="166" t="n"/>
      <c r="H345" s="167">
        <f>E345+F345+G345</f>
        <v/>
      </c>
      <c r="I345" s="168" t="n"/>
      <c r="J345" s="167">
        <f>H345*(1+I345)</f>
        <v/>
      </c>
      <c r="K345" s="169" t="n"/>
      <c r="L345" s="170">
        <f>SUMIFS('HISTORIQUE DOCS'!$H$4:$H$1000,'HISTORIQUE DOCS'!$F$4:$F$1000,A345,'HISTORIQUE DOCS'!$C$4:$C$1000,"FACTURE",'HISTORIQUE DOCS'!$P$4:$P$1000,"VALIDÉ")</f>
        <v/>
      </c>
      <c r="M345" s="170">
        <f>K345-L345</f>
        <v/>
      </c>
      <c r="N345" s="169" t="n"/>
      <c r="O345" s="164" t="n"/>
      <c r="P345" s="164" t="n"/>
    </row>
    <row r="346">
      <c r="A346" s="164" t="n"/>
      <c r="B346" s="164" t="n"/>
      <c r="C346" s="164" t="n"/>
      <c r="D346" s="164" t="n"/>
      <c r="E346" s="166" t="n"/>
      <c r="F346" s="166" t="n"/>
      <c r="G346" s="166" t="n"/>
      <c r="H346" s="167">
        <f>E346+F346+G346</f>
        <v/>
      </c>
      <c r="I346" s="168" t="n"/>
      <c r="J346" s="167">
        <f>H346*(1+I346)</f>
        <v/>
      </c>
      <c r="K346" s="169" t="n"/>
      <c r="L346" s="170">
        <f>SUMIFS('HISTORIQUE DOCS'!$H$4:$H$1000,'HISTORIQUE DOCS'!$F$4:$F$1000,A346,'HISTORIQUE DOCS'!$C$4:$C$1000,"FACTURE",'HISTORIQUE DOCS'!$P$4:$P$1000,"VALIDÉ")</f>
        <v/>
      </c>
      <c r="M346" s="170">
        <f>K346-L346</f>
        <v/>
      </c>
      <c r="N346" s="169" t="n"/>
      <c r="O346" s="164" t="n"/>
      <c r="P346" s="164" t="n"/>
    </row>
    <row r="347">
      <c r="A347" s="164" t="n"/>
      <c r="B347" s="164" t="n"/>
      <c r="C347" s="164" t="n"/>
      <c r="D347" s="164" t="n"/>
      <c r="E347" s="166" t="n"/>
      <c r="F347" s="166" t="n"/>
      <c r="G347" s="166" t="n"/>
      <c r="H347" s="167">
        <f>E347+F347+G347</f>
        <v/>
      </c>
      <c r="I347" s="168" t="n"/>
      <c r="J347" s="167">
        <f>H347*(1+I347)</f>
        <v/>
      </c>
      <c r="K347" s="169" t="n"/>
      <c r="L347" s="170">
        <f>SUMIFS('HISTORIQUE DOCS'!$H$4:$H$1000,'HISTORIQUE DOCS'!$F$4:$F$1000,A347,'HISTORIQUE DOCS'!$C$4:$C$1000,"FACTURE",'HISTORIQUE DOCS'!$P$4:$P$1000,"VALIDÉ")</f>
        <v/>
      </c>
      <c r="M347" s="170">
        <f>K347-L347</f>
        <v/>
      </c>
      <c r="N347" s="169" t="n"/>
      <c r="O347" s="164" t="n"/>
      <c r="P347" s="164" t="n"/>
    </row>
    <row r="348">
      <c r="A348" s="164" t="n"/>
      <c r="B348" s="164" t="n"/>
      <c r="C348" s="164" t="n"/>
      <c r="D348" s="164" t="n"/>
      <c r="E348" s="166" t="n"/>
      <c r="F348" s="166" t="n"/>
      <c r="G348" s="166" t="n"/>
      <c r="H348" s="167">
        <f>E348+F348+G348</f>
        <v/>
      </c>
      <c r="I348" s="168" t="n"/>
      <c r="J348" s="167">
        <f>H348*(1+I348)</f>
        <v/>
      </c>
      <c r="K348" s="169" t="n"/>
      <c r="L348" s="170">
        <f>SUMIFS('HISTORIQUE DOCS'!$H$4:$H$1000,'HISTORIQUE DOCS'!$F$4:$F$1000,A348,'HISTORIQUE DOCS'!$C$4:$C$1000,"FACTURE",'HISTORIQUE DOCS'!$P$4:$P$1000,"VALIDÉ")</f>
        <v/>
      </c>
      <c r="M348" s="170">
        <f>K348-L348</f>
        <v/>
      </c>
      <c r="N348" s="169" t="n"/>
      <c r="O348" s="164" t="n"/>
      <c r="P348" s="164" t="n"/>
    </row>
    <row r="349">
      <c r="A349" s="164" t="n"/>
      <c r="B349" s="164" t="n"/>
      <c r="C349" s="164" t="n"/>
      <c r="D349" s="164" t="n"/>
      <c r="E349" s="166" t="n"/>
      <c r="F349" s="166" t="n"/>
      <c r="G349" s="166" t="n"/>
      <c r="H349" s="167">
        <f>E349+F349+G349</f>
        <v/>
      </c>
      <c r="I349" s="168" t="n"/>
      <c r="J349" s="167">
        <f>H349*(1+I349)</f>
        <v/>
      </c>
      <c r="K349" s="169" t="n"/>
      <c r="L349" s="170">
        <f>SUMIFS('HISTORIQUE DOCS'!$H$4:$H$1000,'HISTORIQUE DOCS'!$F$4:$F$1000,A349,'HISTORIQUE DOCS'!$C$4:$C$1000,"FACTURE",'HISTORIQUE DOCS'!$P$4:$P$1000,"VALIDÉ")</f>
        <v/>
      </c>
      <c r="M349" s="170">
        <f>K349-L349</f>
        <v/>
      </c>
      <c r="N349" s="169" t="n"/>
      <c r="O349" s="164" t="n"/>
      <c r="P349" s="164" t="n"/>
    </row>
    <row r="350">
      <c r="A350" s="164" t="n"/>
      <c r="B350" s="164" t="n"/>
      <c r="C350" s="164" t="n"/>
      <c r="D350" s="164" t="n"/>
      <c r="E350" s="166" t="n"/>
      <c r="F350" s="166" t="n"/>
      <c r="G350" s="166" t="n"/>
      <c r="H350" s="167">
        <f>E350+F350+G350</f>
        <v/>
      </c>
      <c r="I350" s="168" t="n"/>
      <c r="J350" s="167">
        <f>H350*(1+I350)</f>
        <v/>
      </c>
      <c r="K350" s="169" t="n"/>
      <c r="L350" s="170">
        <f>SUMIFS('HISTORIQUE DOCS'!$H$4:$H$1000,'HISTORIQUE DOCS'!$F$4:$F$1000,A350,'HISTORIQUE DOCS'!$C$4:$C$1000,"FACTURE",'HISTORIQUE DOCS'!$P$4:$P$1000,"VALIDÉ")</f>
        <v/>
      </c>
      <c r="M350" s="170">
        <f>K350-L350</f>
        <v/>
      </c>
      <c r="N350" s="169" t="n"/>
      <c r="O350" s="164" t="n"/>
      <c r="P350" s="164" t="n"/>
    </row>
    <row r="351">
      <c r="A351" s="164" t="n"/>
      <c r="B351" s="164" t="n"/>
      <c r="C351" s="164" t="n"/>
      <c r="D351" s="164" t="n"/>
      <c r="E351" s="166" t="n"/>
      <c r="F351" s="166" t="n"/>
      <c r="G351" s="166" t="n"/>
      <c r="H351" s="167">
        <f>E351+F351+G351</f>
        <v/>
      </c>
      <c r="I351" s="168" t="n"/>
      <c r="J351" s="167">
        <f>H351*(1+I351)</f>
        <v/>
      </c>
      <c r="K351" s="169" t="n"/>
      <c r="L351" s="170">
        <f>SUMIFS('HISTORIQUE DOCS'!$H$4:$H$1000,'HISTORIQUE DOCS'!$F$4:$F$1000,A351,'HISTORIQUE DOCS'!$C$4:$C$1000,"FACTURE",'HISTORIQUE DOCS'!$P$4:$P$1000,"VALIDÉ")</f>
        <v/>
      </c>
      <c r="M351" s="170">
        <f>K351-L351</f>
        <v/>
      </c>
      <c r="N351" s="169" t="n"/>
      <c r="O351" s="164" t="n"/>
      <c r="P351" s="164" t="n"/>
    </row>
    <row r="352">
      <c r="A352" s="164" t="n"/>
      <c r="B352" s="164" t="n"/>
      <c r="C352" s="164" t="n"/>
      <c r="D352" s="164" t="n"/>
      <c r="E352" s="166" t="n"/>
      <c r="F352" s="166" t="n"/>
      <c r="G352" s="166" t="n"/>
      <c r="H352" s="167">
        <f>E352+F352+G352</f>
        <v/>
      </c>
      <c r="I352" s="168" t="n"/>
      <c r="J352" s="167">
        <f>H352*(1+I352)</f>
        <v/>
      </c>
      <c r="K352" s="169" t="n"/>
      <c r="L352" s="170">
        <f>SUMIFS('HISTORIQUE DOCS'!$H$4:$H$1000,'HISTORIQUE DOCS'!$F$4:$F$1000,A352,'HISTORIQUE DOCS'!$C$4:$C$1000,"FACTURE",'HISTORIQUE DOCS'!$P$4:$P$1000,"VALIDÉ")</f>
        <v/>
      </c>
      <c r="M352" s="170">
        <f>K352-L352</f>
        <v/>
      </c>
      <c r="N352" s="169" t="n"/>
      <c r="O352" s="164" t="n"/>
      <c r="P352" s="164" t="n"/>
    </row>
    <row r="353">
      <c r="A353" s="164" t="n"/>
      <c r="B353" s="164" t="n"/>
      <c r="C353" s="164" t="n"/>
      <c r="D353" s="164" t="n"/>
      <c r="E353" s="166" t="n"/>
      <c r="F353" s="166" t="n"/>
      <c r="G353" s="166" t="n"/>
      <c r="H353" s="167">
        <f>E353+F353+G353</f>
        <v/>
      </c>
      <c r="I353" s="168" t="n"/>
      <c r="J353" s="167">
        <f>H353*(1+I353)</f>
        <v/>
      </c>
      <c r="K353" s="169" t="n"/>
      <c r="L353" s="170">
        <f>SUMIFS('HISTORIQUE DOCS'!$H$4:$H$1000,'HISTORIQUE DOCS'!$F$4:$F$1000,A353,'HISTORIQUE DOCS'!$C$4:$C$1000,"FACTURE",'HISTORIQUE DOCS'!$P$4:$P$1000,"VALIDÉ")</f>
        <v/>
      </c>
      <c r="M353" s="170">
        <f>K353-L353</f>
        <v/>
      </c>
      <c r="N353" s="169" t="n"/>
      <c r="O353" s="164" t="n"/>
      <c r="P353" s="164" t="n"/>
    </row>
    <row r="354">
      <c r="A354" s="164" t="n"/>
      <c r="B354" s="164" t="n"/>
      <c r="C354" s="164" t="n"/>
      <c r="D354" s="164" t="n"/>
      <c r="E354" s="166" t="n"/>
      <c r="F354" s="166" t="n"/>
      <c r="G354" s="166" t="n"/>
      <c r="H354" s="167">
        <f>E354+F354+G354</f>
        <v/>
      </c>
      <c r="I354" s="168" t="n"/>
      <c r="J354" s="167">
        <f>H354*(1+I354)</f>
        <v/>
      </c>
      <c r="K354" s="169" t="n"/>
      <c r="L354" s="170">
        <f>SUMIFS('HISTORIQUE DOCS'!$H$4:$H$1000,'HISTORIQUE DOCS'!$F$4:$F$1000,A354,'HISTORIQUE DOCS'!$C$4:$C$1000,"FACTURE",'HISTORIQUE DOCS'!$P$4:$P$1000,"VALIDÉ")</f>
        <v/>
      </c>
      <c r="M354" s="170">
        <f>K354-L354</f>
        <v/>
      </c>
      <c r="N354" s="169" t="n"/>
      <c r="O354" s="164" t="n"/>
      <c r="P354" s="164" t="n"/>
    </row>
    <row r="355">
      <c r="A355" s="164" t="n"/>
      <c r="B355" s="164" t="n"/>
      <c r="C355" s="164" t="n"/>
      <c r="D355" s="164" t="n"/>
      <c r="E355" s="166" t="n"/>
      <c r="F355" s="166" t="n"/>
      <c r="G355" s="166" t="n"/>
      <c r="H355" s="167">
        <f>E355+F355+G355</f>
        <v/>
      </c>
      <c r="I355" s="168" t="n"/>
      <c r="J355" s="167">
        <f>H355*(1+I355)</f>
        <v/>
      </c>
      <c r="K355" s="169" t="n"/>
      <c r="L355" s="170">
        <f>SUMIFS('HISTORIQUE DOCS'!$H$4:$H$1000,'HISTORIQUE DOCS'!$F$4:$F$1000,A355,'HISTORIQUE DOCS'!$C$4:$C$1000,"FACTURE",'HISTORIQUE DOCS'!$P$4:$P$1000,"VALIDÉ")</f>
        <v/>
      </c>
      <c r="M355" s="170">
        <f>K355-L355</f>
        <v/>
      </c>
      <c r="N355" s="169" t="n"/>
      <c r="O355" s="164" t="n"/>
      <c r="P355" s="164" t="n"/>
    </row>
    <row r="356">
      <c r="A356" s="164" t="n"/>
      <c r="B356" s="164" t="n"/>
      <c r="C356" s="164" t="n"/>
      <c r="D356" s="164" t="n"/>
      <c r="E356" s="166" t="n"/>
      <c r="F356" s="166" t="n"/>
      <c r="G356" s="166" t="n"/>
      <c r="H356" s="167">
        <f>E356+F356+G356</f>
        <v/>
      </c>
      <c r="I356" s="168" t="n"/>
      <c r="J356" s="167">
        <f>H356*(1+I356)</f>
        <v/>
      </c>
      <c r="K356" s="169" t="n"/>
      <c r="L356" s="170">
        <f>SUMIFS('HISTORIQUE DOCS'!$H$4:$H$1000,'HISTORIQUE DOCS'!$F$4:$F$1000,A356,'HISTORIQUE DOCS'!$C$4:$C$1000,"FACTURE",'HISTORIQUE DOCS'!$P$4:$P$1000,"VALIDÉ")</f>
        <v/>
      </c>
      <c r="M356" s="170">
        <f>K356-L356</f>
        <v/>
      </c>
      <c r="N356" s="169" t="n"/>
      <c r="O356" s="164" t="n"/>
      <c r="P356" s="164" t="n"/>
    </row>
    <row r="357">
      <c r="A357" s="164" t="n"/>
      <c r="B357" s="164" t="n"/>
      <c r="C357" s="164" t="n"/>
      <c r="D357" s="164" t="n"/>
      <c r="E357" s="166" t="n"/>
      <c r="F357" s="166" t="n"/>
      <c r="G357" s="166" t="n"/>
      <c r="H357" s="167">
        <f>E357+F357+G357</f>
        <v/>
      </c>
      <c r="I357" s="168" t="n"/>
      <c r="J357" s="167">
        <f>H357*(1+I357)</f>
        <v/>
      </c>
      <c r="K357" s="169" t="n"/>
      <c r="L357" s="170">
        <f>SUMIFS('HISTORIQUE DOCS'!$H$4:$H$1000,'HISTORIQUE DOCS'!$F$4:$F$1000,A357,'HISTORIQUE DOCS'!$C$4:$C$1000,"FACTURE",'HISTORIQUE DOCS'!$P$4:$P$1000,"VALIDÉ")</f>
        <v/>
      </c>
      <c r="M357" s="170">
        <f>K357-L357</f>
        <v/>
      </c>
      <c r="N357" s="169" t="n"/>
      <c r="O357" s="164" t="n"/>
      <c r="P357" s="164" t="n"/>
    </row>
    <row r="358">
      <c r="A358" s="164" t="n"/>
      <c r="B358" s="164" t="n"/>
      <c r="C358" s="164" t="n"/>
      <c r="D358" s="164" t="n"/>
      <c r="E358" s="166" t="n"/>
      <c r="F358" s="166" t="n"/>
      <c r="G358" s="166" t="n"/>
      <c r="H358" s="167">
        <f>E358+F358+G358</f>
        <v/>
      </c>
      <c r="I358" s="168" t="n"/>
      <c r="J358" s="167">
        <f>H358*(1+I358)</f>
        <v/>
      </c>
      <c r="K358" s="169" t="n"/>
      <c r="L358" s="170">
        <f>SUMIFS('HISTORIQUE DOCS'!$H$4:$H$1000,'HISTORIQUE DOCS'!$F$4:$F$1000,A358,'HISTORIQUE DOCS'!$C$4:$C$1000,"FACTURE",'HISTORIQUE DOCS'!$P$4:$P$1000,"VALIDÉ")</f>
        <v/>
      </c>
      <c r="M358" s="170">
        <f>K358-L358</f>
        <v/>
      </c>
      <c r="N358" s="169" t="n"/>
      <c r="O358" s="164" t="n"/>
      <c r="P358" s="164" t="n"/>
    </row>
    <row r="359">
      <c r="A359" s="164" t="n"/>
      <c r="B359" s="164" t="n"/>
      <c r="C359" s="164" t="n"/>
      <c r="D359" s="164" t="n"/>
      <c r="E359" s="166" t="n"/>
      <c r="F359" s="166" t="n"/>
      <c r="G359" s="166" t="n"/>
      <c r="H359" s="167">
        <f>E359+F359+G359</f>
        <v/>
      </c>
      <c r="I359" s="168" t="n"/>
      <c r="J359" s="167">
        <f>H359*(1+I359)</f>
        <v/>
      </c>
      <c r="K359" s="169" t="n"/>
      <c r="L359" s="170">
        <f>SUMIFS('HISTORIQUE DOCS'!$H$4:$H$1000,'HISTORIQUE DOCS'!$F$4:$F$1000,A359,'HISTORIQUE DOCS'!$C$4:$C$1000,"FACTURE",'HISTORIQUE DOCS'!$P$4:$P$1000,"VALIDÉ")</f>
        <v/>
      </c>
      <c r="M359" s="170">
        <f>K359-L359</f>
        <v/>
      </c>
      <c r="N359" s="169" t="n"/>
      <c r="O359" s="164" t="n"/>
      <c r="P359" s="164" t="n"/>
    </row>
    <row r="360">
      <c r="A360" s="164" t="n"/>
      <c r="B360" s="164" t="n"/>
      <c r="C360" s="164" t="n"/>
      <c r="D360" s="164" t="n"/>
      <c r="E360" s="166" t="n"/>
      <c r="F360" s="166" t="n"/>
      <c r="G360" s="166" t="n"/>
      <c r="H360" s="167">
        <f>E360+F360+G360</f>
        <v/>
      </c>
      <c r="I360" s="168" t="n"/>
      <c r="J360" s="167">
        <f>H360*(1+I360)</f>
        <v/>
      </c>
      <c r="K360" s="169" t="n"/>
      <c r="L360" s="170">
        <f>SUMIFS('HISTORIQUE DOCS'!$H$4:$H$1000,'HISTORIQUE DOCS'!$F$4:$F$1000,A360,'HISTORIQUE DOCS'!$C$4:$C$1000,"FACTURE",'HISTORIQUE DOCS'!$P$4:$P$1000,"VALIDÉ")</f>
        <v/>
      </c>
      <c r="M360" s="170">
        <f>K360-L360</f>
        <v/>
      </c>
      <c r="N360" s="169" t="n"/>
      <c r="O360" s="164" t="n"/>
      <c r="P360" s="164" t="n"/>
    </row>
    <row r="361">
      <c r="A361" s="164" t="n"/>
      <c r="B361" s="164" t="n"/>
      <c r="C361" s="164" t="n"/>
      <c r="D361" s="164" t="n"/>
      <c r="E361" s="166" t="n"/>
      <c r="F361" s="166" t="n"/>
      <c r="G361" s="166" t="n"/>
      <c r="H361" s="167">
        <f>E361+F361+G361</f>
        <v/>
      </c>
      <c r="I361" s="168" t="n"/>
      <c r="J361" s="167">
        <f>H361*(1+I361)</f>
        <v/>
      </c>
      <c r="K361" s="169" t="n"/>
      <c r="L361" s="170">
        <f>SUMIFS('HISTORIQUE DOCS'!$H$4:$H$1000,'HISTORIQUE DOCS'!$F$4:$F$1000,A361,'HISTORIQUE DOCS'!$C$4:$C$1000,"FACTURE",'HISTORIQUE DOCS'!$P$4:$P$1000,"VALIDÉ")</f>
        <v/>
      </c>
      <c r="M361" s="170">
        <f>K361-L361</f>
        <v/>
      </c>
      <c r="N361" s="169" t="n"/>
      <c r="O361" s="164" t="n"/>
      <c r="P361" s="164" t="n"/>
    </row>
    <row r="362">
      <c r="A362" s="164" t="n"/>
      <c r="B362" s="164" t="n"/>
      <c r="C362" s="164" t="n"/>
      <c r="D362" s="164" t="n"/>
      <c r="E362" s="166" t="n"/>
      <c r="F362" s="166" t="n"/>
      <c r="G362" s="166" t="n"/>
      <c r="H362" s="167">
        <f>E362+F362+G362</f>
        <v/>
      </c>
      <c r="I362" s="168" t="n"/>
      <c r="J362" s="167">
        <f>H362*(1+I362)</f>
        <v/>
      </c>
      <c r="K362" s="169" t="n"/>
      <c r="L362" s="170">
        <f>SUMIFS('HISTORIQUE DOCS'!$H$4:$H$1000,'HISTORIQUE DOCS'!$F$4:$F$1000,A362,'HISTORIQUE DOCS'!$C$4:$C$1000,"FACTURE",'HISTORIQUE DOCS'!$P$4:$P$1000,"VALIDÉ")</f>
        <v/>
      </c>
      <c r="M362" s="170">
        <f>K362-L362</f>
        <v/>
      </c>
      <c r="N362" s="169" t="n"/>
      <c r="O362" s="164" t="n"/>
      <c r="P362" s="164" t="n"/>
    </row>
    <row r="363">
      <c r="A363" s="164" t="n"/>
      <c r="B363" s="164" t="n"/>
      <c r="C363" s="164" t="n"/>
      <c r="D363" s="164" t="n"/>
      <c r="E363" s="166" t="n"/>
      <c r="F363" s="166" t="n"/>
      <c r="G363" s="166" t="n"/>
      <c r="H363" s="167">
        <f>E363+F363+G363</f>
        <v/>
      </c>
      <c r="I363" s="168" t="n"/>
      <c r="J363" s="167">
        <f>H363*(1+I363)</f>
        <v/>
      </c>
      <c r="K363" s="169" t="n"/>
      <c r="L363" s="170">
        <f>SUMIFS('HISTORIQUE DOCS'!$H$4:$H$1000,'HISTORIQUE DOCS'!$F$4:$F$1000,A363,'HISTORIQUE DOCS'!$C$4:$C$1000,"FACTURE",'HISTORIQUE DOCS'!$P$4:$P$1000,"VALIDÉ")</f>
        <v/>
      </c>
      <c r="M363" s="170">
        <f>K363-L363</f>
        <v/>
      </c>
      <c r="N363" s="169" t="n"/>
      <c r="O363" s="164" t="n"/>
      <c r="P363" s="164" t="n"/>
    </row>
    <row r="364">
      <c r="A364" s="164" t="n"/>
      <c r="B364" s="164" t="n"/>
      <c r="C364" s="164" t="n"/>
      <c r="D364" s="164" t="n"/>
      <c r="E364" s="166" t="n"/>
      <c r="F364" s="166" t="n"/>
      <c r="G364" s="166" t="n"/>
      <c r="H364" s="167">
        <f>E364+F364+G364</f>
        <v/>
      </c>
      <c r="I364" s="168" t="n"/>
      <c r="J364" s="167">
        <f>H364*(1+I364)</f>
        <v/>
      </c>
      <c r="K364" s="169" t="n"/>
      <c r="L364" s="170">
        <f>SUMIFS('HISTORIQUE DOCS'!$H$4:$H$1000,'HISTORIQUE DOCS'!$F$4:$F$1000,A364,'HISTORIQUE DOCS'!$C$4:$C$1000,"FACTURE",'HISTORIQUE DOCS'!$P$4:$P$1000,"VALIDÉ")</f>
        <v/>
      </c>
      <c r="M364" s="170">
        <f>K364-L364</f>
        <v/>
      </c>
      <c r="N364" s="169" t="n"/>
      <c r="O364" s="164" t="n"/>
      <c r="P364" s="164" t="n"/>
    </row>
    <row r="365">
      <c r="A365" s="164" t="n"/>
      <c r="B365" s="164" t="n"/>
      <c r="C365" s="164" t="n"/>
      <c r="D365" s="164" t="n"/>
      <c r="E365" s="166" t="n"/>
      <c r="F365" s="166" t="n"/>
      <c r="G365" s="166" t="n"/>
      <c r="H365" s="167">
        <f>E365+F365+G365</f>
        <v/>
      </c>
      <c r="I365" s="168" t="n"/>
      <c r="J365" s="167">
        <f>H365*(1+I365)</f>
        <v/>
      </c>
      <c r="K365" s="169" t="n"/>
      <c r="L365" s="170">
        <f>SUMIFS('HISTORIQUE DOCS'!$H$4:$H$1000,'HISTORIQUE DOCS'!$F$4:$F$1000,A365,'HISTORIQUE DOCS'!$C$4:$C$1000,"FACTURE",'HISTORIQUE DOCS'!$P$4:$P$1000,"VALIDÉ")</f>
        <v/>
      </c>
      <c r="M365" s="170">
        <f>K365-L365</f>
        <v/>
      </c>
      <c r="N365" s="169" t="n"/>
      <c r="O365" s="164" t="n"/>
      <c r="P365" s="164" t="n"/>
    </row>
    <row r="366">
      <c r="A366" s="164" t="n"/>
      <c r="B366" s="164" t="n"/>
      <c r="C366" s="164" t="n"/>
      <c r="D366" s="164" t="n"/>
      <c r="E366" s="166" t="n"/>
      <c r="F366" s="166" t="n"/>
      <c r="G366" s="166" t="n"/>
      <c r="H366" s="167">
        <f>E366+F366+G366</f>
        <v/>
      </c>
      <c r="I366" s="168" t="n"/>
      <c r="J366" s="167">
        <f>H366*(1+I366)</f>
        <v/>
      </c>
      <c r="K366" s="169" t="n"/>
      <c r="L366" s="170">
        <f>SUMIFS('HISTORIQUE DOCS'!$H$4:$H$1000,'HISTORIQUE DOCS'!$F$4:$F$1000,A366,'HISTORIQUE DOCS'!$C$4:$C$1000,"FACTURE",'HISTORIQUE DOCS'!$P$4:$P$1000,"VALIDÉ")</f>
        <v/>
      </c>
      <c r="M366" s="170">
        <f>K366-L366</f>
        <v/>
      </c>
      <c r="N366" s="169" t="n"/>
      <c r="O366" s="164" t="n"/>
      <c r="P366" s="164" t="n"/>
    </row>
    <row r="367">
      <c r="A367" s="164" t="n"/>
      <c r="B367" s="164" t="n"/>
      <c r="C367" s="164" t="n"/>
      <c r="D367" s="164" t="n"/>
      <c r="E367" s="166" t="n"/>
      <c r="F367" s="166" t="n"/>
      <c r="G367" s="166" t="n"/>
      <c r="H367" s="167">
        <f>E367+F367+G367</f>
        <v/>
      </c>
      <c r="I367" s="168" t="n"/>
      <c r="J367" s="167">
        <f>H367*(1+I367)</f>
        <v/>
      </c>
      <c r="K367" s="169" t="n"/>
      <c r="L367" s="170">
        <f>SUMIFS('HISTORIQUE DOCS'!$H$4:$H$1000,'HISTORIQUE DOCS'!$F$4:$F$1000,A367,'HISTORIQUE DOCS'!$C$4:$C$1000,"FACTURE",'HISTORIQUE DOCS'!$P$4:$P$1000,"VALIDÉ")</f>
        <v/>
      </c>
      <c r="M367" s="170">
        <f>K367-L367</f>
        <v/>
      </c>
      <c r="N367" s="169" t="n"/>
      <c r="O367" s="164" t="n"/>
      <c r="P367" s="164" t="n"/>
    </row>
    <row r="368">
      <c r="A368" s="164" t="n"/>
      <c r="B368" s="164" t="n"/>
      <c r="C368" s="164" t="n"/>
      <c r="D368" s="164" t="n"/>
      <c r="E368" s="166" t="n"/>
      <c r="F368" s="166" t="n"/>
      <c r="G368" s="166" t="n"/>
      <c r="H368" s="167">
        <f>E368+F368+G368</f>
        <v/>
      </c>
      <c r="I368" s="168" t="n"/>
      <c r="J368" s="167">
        <f>H368*(1+I368)</f>
        <v/>
      </c>
      <c r="K368" s="169" t="n"/>
      <c r="L368" s="170">
        <f>SUMIFS('HISTORIQUE DOCS'!$H$4:$H$1000,'HISTORIQUE DOCS'!$F$4:$F$1000,A368,'HISTORIQUE DOCS'!$C$4:$C$1000,"FACTURE",'HISTORIQUE DOCS'!$P$4:$P$1000,"VALIDÉ")</f>
        <v/>
      </c>
      <c r="M368" s="170">
        <f>K368-L368</f>
        <v/>
      </c>
      <c r="N368" s="169" t="n"/>
      <c r="O368" s="164" t="n"/>
      <c r="P368" s="164" t="n"/>
    </row>
    <row r="369">
      <c r="A369" s="164" t="n"/>
      <c r="B369" s="164" t="n"/>
      <c r="C369" s="164" t="n"/>
      <c r="D369" s="164" t="n"/>
      <c r="E369" s="166" t="n"/>
      <c r="F369" s="166" t="n"/>
      <c r="G369" s="166" t="n"/>
      <c r="H369" s="167">
        <f>E369+F369+G369</f>
        <v/>
      </c>
      <c r="I369" s="168" t="n"/>
      <c r="J369" s="167">
        <f>H369*(1+I369)</f>
        <v/>
      </c>
      <c r="K369" s="169" t="n"/>
      <c r="L369" s="170">
        <f>SUMIFS('HISTORIQUE DOCS'!$H$4:$H$1000,'HISTORIQUE DOCS'!$F$4:$F$1000,A369,'HISTORIQUE DOCS'!$C$4:$C$1000,"FACTURE",'HISTORIQUE DOCS'!$P$4:$P$1000,"VALIDÉ")</f>
        <v/>
      </c>
      <c r="M369" s="170">
        <f>K369-L369</f>
        <v/>
      </c>
      <c r="N369" s="169" t="n"/>
      <c r="O369" s="164" t="n"/>
      <c r="P369" s="164" t="n"/>
    </row>
    <row r="370">
      <c r="A370" s="164" t="n"/>
      <c r="B370" s="164" t="n"/>
      <c r="C370" s="164" t="n"/>
      <c r="D370" s="164" t="n"/>
      <c r="E370" s="166" t="n"/>
      <c r="F370" s="166" t="n"/>
      <c r="G370" s="166" t="n"/>
      <c r="H370" s="167">
        <f>E370+F370+G370</f>
        <v/>
      </c>
      <c r="I370" s="168" t="n"/>
      <c r="J370" s="167">
        <f>H370*(1+I370)</f>
        <v/>
      </c>
      <c r="K370" s="169" t="n"/>
      <c r="L370" s="170">
        <f>SUMIFS('HISTORIQUE DOCS'!$H$4:$H$1000,'HISTORIQUE DOCS'!$F$4:$F$1000,A370,'HISTORIQUE DOCS'!$C$4:$C$1000,"FACTURE",'HISTORIQUE DOCS'!$P$4:$P$1000,"VALIDÉ")</f>
        <v/>
      </c>
      <c r="M370" s="170">
        <f>K370-L370</f>
        <v/>
      </c>
      <c r="N370" s="169" t="n"/>
      <c r="O370" s="164" t="n"/>
      <c r="P370" s="164" t="n"/>
    </row>
    <row r="371">
      <c r="A371" s="164" t="n"/>
      <c r="B371" s="164" t="n"/>
      <c r="C371" s="164" t="n"/>
      <c r="D371" s="164" t="n"/>
      <c r="E371" s="166" t="n"/>
      <c r="F371" s="166" t="n"/>
      <c r="G371" s="166" t="n"/>
      <c r="H371" s="167">
        <f>E371+F371+G371</f>
        <v/>
      </c>
      <c r="I371" s="168" t="n"/>
      <c r="J371" s="167">
        <f>H371*(1+I371)</f>
        <v/>
      </c>
      <c r="K371" s="169" t="n"/>
      <c r="L371" s="170">
        <f>SUMIFS('HISTORIQUE DOCS'!$H$4:$H$1000,'HISTORIQUE DOCS'!$F$4:$F$1000,A371,'HISTORIQUE DOCS'!$C$4:$C$1000,"FACTURE",'HISTORIQUE DOCS'!$P$4:$P$1000,"VALIDÉ")</f>
        <v/>
      </c>
      <c r="M371" s="170">
        <f>K371-L371</f>
        <v/>
      </c>
      <c r="N371" s="169" t="n"/>
      <c r="O371" s="164" t="n"/>
      <c r="P371" s="164" t="n"/>
    </row>
    <row r="372">
      <c r="A372" s="164" t="n"/>
      <c r="B372" s="164" t="n"/>
      <c r="C372" s="164" t="n"/>
      <c r="D372" s="164" t="n"/>
      <c r="E372" s="166" t="n"/>
      <c r="F372" s="166" t="n"/>
      <c r="G372" s="166" t="n"/>
      <c r="H372" s="167">
        <f>E372+F372+G372</f>
        <v/>
      </c>
      <c r="I372" s="168" t="n"/>
      <c r="J372" s="167">
        <f>H372*(1+I372)</f>
        <v/>
      </c>
      <c r="K372" s="169" t="n"/>
      <c r="L372" s="170">
        <f>SUMIFS('HISTORIQUE DOCS'!$H$4:$H$1000,'HISTORIQUE DOCS'!$F$4:$F$1000,A372,'HISTORIQUE DOCS'!$C$4:$C$1000,"FACTURE",'HISTORIQUE DOCS'!$P$4:$P$1000,"VALIDÉ")</f>
        <v/>
      </c>
      <c r="M372" s="170">
        <f>K372-L372</f>
        <v/>
      </c>
      <c r="N372" s="169" t="n"/>
      <c r="O372" s="164" t="n"/>
      <c r="P372" s="164" t="n"/>
    </row>
    <row r="373">
      <c r="A373" s="164" t="n"/>
      <c r="B373" s="164" t="n"/>
      <c r="C373" s="164" t="n"/>
      <c r="D373" s="164" t="n"/>
      <c r="E373" s="166" t="n"/>
      <c r="F373" s="166" t="n"/>
      <c r="G373" s="166" t="n"/>
      <c r="H373" s="167">
        <f>E373+F373+G373</f>
        <v/>
      </c>
      <c r="I373" s="168" t="n"/>
      <c r="J373" s="167">
        <f>H373*(1+I373)</f>
        <v/>
      </c>
      <c r="K373" s="169" t="n"/>
      <c r="L373" s="170">
        <f>SUMIFS('HISTORIQUE DOCS'!$H$4:$H$1000,'HISTORIQUE DOCS'!$F$4:$F$1000,A373,'HISTORIQUE DOCS'!$C$4:$C$1000,"FACTURE",'HISTORIQUE DOCS'!$P$4:$P$1000,"VALIDÉ")</f>
        <v/>
      </c>
      <c r="M373" s="170">
        <f>K373-L373</f>
        <v/>
      </c>
      <c r="N373" s="169" t="n"/>
      <c r="O373" s="164" t="n"/>
      <c r="P373" s="164" t="n"/>
    </row>
    <row r="374">
      <c r="A374" s="164" t="n"/>
      <c r="B374" s="164" t="n"/>
      <c r="C374" s="164" t="n"/>
      <c r="D374" s="164" t="n"/>
      <c r="E374" s="166" t="n"/>
      <c r="F374" s="166" t="n"/>
      <c r="G374" s="166" t="n"/>
      <c r="H374" s="167">
        <f>E374+F374+G374</f>
        <v/>
      </c>
      <c r="I374" s="168" t="n"/>
      <c r="J374" s="167">
        <f>H374*(1+I374)</f>
        <v/>
      </c>
      <c r="K374" s="169" t="n"/>
      <c r="L374" s="170">
        <f>SUMIFS('HISTORIQUE DOCS'!$H$4:$H$1000,'HISTORIQUE DOCS'!$F$4:$F$1000,A374,'HISTORIQUE DOCS'!$C$4:$C$1000,"FACTURE",'HISTORIQUE DOCS'!$P$4:$P$1000,"VALIDÉ")</f>
        <v/>
      </c>
      <c r="M374" s="170">
        <f>K374-L374</f>
        <v/>
      </c>
      <c r="N374" s="169" t="n"/>
      <c r="O374" s="164" t="n"/>
      <c r="P374" s="164" t="n"/>
    </row>
    <row r="375">
      <c r="A375" s="164" t="n"/>
      <c r="B375" s="164" t="n"/>
      <c r="C375" s="164" t="n"/>
      <c r="D375" s="164" t="n"/>
      <c r="E375" s="166" t="n"/>
      <c r="F375" s="166" t="n"/>
      <c r="G375" s="166" t="n"/>
      <c r="H375" s="167">
        <f>E375+F375+G375</f>
        <v/>
      </c>
      <c r="I375" s="168" t="n"/>
      <c r="J375" s="167">
        <f>H375*(1+I375)</f>
        <v/>
      </c>
      <c r="K375" s="169" t="n"/>
      <c r="L375" s="170">
        <f>SUMIFS('HISTORIQUE DOCS'!$H$4:$H$1000,'HISTORIQUE DOCS'!$F$4:$F$1000,A375,'HISTORIQUE DOCS'!$C$4:$C$1000,"FACTURE",'HISTORIQUE DOCS'!$P$4:$P$1000,"VALIDÉ")</f>
        <v/>
      </c>
      <c r="M375" s="170">
        <f>K375-L375</f>
        <v/>
      </c>
      <c r="N375" s="169" t="n"/>
      <c r="O375" s="164" t="n"/>
      <c r="P375" s="164" t="n"/>
    </row>
    <row r="376">
      <c r="A376" s="164" t="n"/>
      <c r="B376" s="164" t="n"/>
      <c r="C376" s="164" t="n"/>
      <c r="D376" s="164" t="n"/>
      <c r="E376" s="166" t="n"/>
      <c r="F376" s="166" t="n"/>
      <c r="G376" s="166" t="n"/>
      <c r="H376" s="167">
        <f>E376+F376+G376</f>
        <v/>
      </c>
      <c r="I376" s="168" t="n"/>
      <c r="J376" s="167">
        <f>H376*(1+I376)</f>
        <v/>
      </c>
      <c r="K376" s="169" t="n"/>
      <c r="L376" s="170">
        <f>SUMIFS('HISTORIQUE DOCS'!$H$4:$H$1000,'HISTORIQUE DOCS'!$F$4:$F$1000,A376,'HISTORIQUE DOCS'!$C$4:$C$1000,"FACTURE",'HISTORIQUE DOCS'!$P$4:$P$1000,"VALIDÉ")</f>
        <v/>
      </c>
      <c r="M376" s="170">
        <f>K376-L376</f>
        <v/>
      </c>
      <c r="N376" s="169" t="n"/>
      <c r="O376" s="164" t="n"/>
      <c r="P376" s="164" t="n"/>
    </row>
    <row r="377">
      <c r="A377" s="164" t="n"/>
      <c r="B377" s="164" t="n"/>
      <c r="C377" s="164" t="n"/>
      <c r="D377" s="164" t="n"/>
      <c r="E377" s="166" t="n"/>
      <c r="F377" s="166" t="n"/>
      <c r="G377" s="166" t="n"/>
      <c r="H377" s="167">
        <f>E377+F377+G377</f>
        <v/>
      </c>
      <c r="I377" s="168" t="n"/>
      <c r="J377" s="167">
        <f>H377*(1+I377)</f>
        <v/>
      </c>
      <c r="K377" s="169" t="n"/>
      <c r="L377" s="170">
        <f>SUMIFS('HISTORIQUE DOCS'!$H$4:$H$1000,'HISTORIQUE DOCS'!$F$4:$F$1000,A377,'HISTORIQUE DOCS'!$C$4:$C$1000,"FACTURE",'HISTORIQUE DOCS'!$P$4:$P$1000,"VALIDÉ")</f>
        <v/>
      </c>
      <c r="M377" s="170">
        <f>K377-L377</f>
        <v/>
      </c>
      <c r="N377" s="169" t="n"/>
      <c r="O377" s="164" t="n"/>
      <c r="P377" s="164" t="n"/>
    </row>
    <row r="378">
      <c r="A378" s="164" t="n"/>
      <c r="B378" s="164" t="n"/>
      <c r="C378" s="164" t="n"/>
      <c r="D378" s="164" t="n"/>
      <c r="E378" s="166" t="n"/>
      <c r="F378" s="166" t="n"/>
      <c r="G378" s="166" t="n"/>
      <c r="H378" s="167">
        <f>E378+F378+G378</f>
        <v/>
      </c>
      <c r="I378" s="168" t="n"/>
      <c r="J378" s="167">
        <f>H378*(1+I378)</f>
        <v/>
      </c>
      <c r="K378" s="169" t="n"/>
      <c r="L378" s="170">
        <f>SUMIFS('HISTORIQUE DOCS'!$H$4:$H$1000,'HISTORIQUE DOCS'!$F$4:$F$1000,A378,'HISTORIQUE DOCS'!$C$4:$C$1000,"FACTURE",'HISTORIQUE DOCS'!$P$4:$P$1000,"VALIDÉ")</f>
        <v/>
      </c>
      <c r="M378" s="170">
        <f>K378-L378</f>
        <v/>
      </c>
      <c r="N378" s="169" t="n"/>
      <c r="O378" s="164" t="n"/>
      <c r="P378" s="164" t="n"/>
    </row>
    <row r="379">
      <c r="A379" s="164" t="n"/>
      <c r="B379" s="164" t="n"/>
      <c r="C379" s="164" t="n"/>
      <c r="D379" s="164" t="n"/>
      <c r="E379" s="166" t="n"/>
      <c r="F379" s="166" t="n"/>
      <c r="G379" s="166" t="n"/>
      <c r="H379" s="167">
        <f>E379+F379+G379</f>
        <v/>
      </c>
      <c r="I379" s="168" t="n"/>
      <c r="J379" s="167">
        <f>H379*(1+I379)</f>
        <v/>
      </c>
      <c r="K379" s="169" t="n"/>
      <c r="L379" s="170">
        <f>SUMIFS('HISTORIQUE DOCS'!$H$4:$H$1000,'HISTORIQUE DOCS'!$F$4:$F$1000,A379,'HISTORIQUE DOCS'!$C$4:$C$1000,"FACTURE",'HISTORIQUE DOCS'!$P$4:$P$1000,"VALIDÉ")</f>
        <v/>
      </c>
      <c r="M379" s="170">
        <f>K379-L379</f>
        <v/>
      </c>
      <c r="N379" s="169" t="n"/>
      <c r="O379" s="164" t="n"/>
      <c r="P379" s="164" t="n"/>
    </row>
    <row r="380">
      <c r="A380" s="164" t="n"/>
      <c r="B380" s="164" t="n"/>
      <c r="C380" s="164" t="n"/>
      <c r="D380" s="164" t="n"/>
      <c r="E380" s="166" t="n"/>
      <c r="F380" s="166" t="n"/>
      <c r="G380" s="166" t="n"/>
      <c r="H380" s="167">
        <f>E380+F380+G380</f>
        <v/>
      </c>
      <c r="I380" s="168" t="n"/>
      <c r="J380" s="167">
        <f>H380*(1+I380)</f>
        <v/>
      </c>
      <c r="K380" s="169" t="n"/>
      <c r="L380" s="170">
        <f>SUMIFS('HISTORIQUE DOCS'!$H$4:$H$1000,'HISTORIQUE DOCS'!$F$4:$F$1000,A380,'HISTORIQUE DOCS'!$C$4:$C$1000,"FACTURE",'HISTORIQUE DOCS'!$P$4:$P$1000,"VALIDÉ")</f>
        <v/>
      </c>
      <c r="M380" s="170">
        <f>K380-L380</f>
        <v/>
      </c>
      <c r="N380" s="169" t="n"/>
      <c r="O380" s="164" t="n"/>
      <c r="P380" s="164" t="n"/>
    </row>
    <row r="381">
      <c r="A381" s="164" t="n"/>
      <c r="B381" s="164" t="n"/>
      <c r="C381" s="164" t="n"/>
      <c r="D381" s="164" t="n"/>
      <c r="E381" s="166" t="n"/>
      <c r="F381" s="166" t="n"/>
      <c r="G381" s="166" t="n"/>
      <c r="H381" s="167">
        <f>E381+F381+G381</f>
        <v/>
      </c>
      <c r="I381" s="168" t="n"/>
      <c r="J381" s="167">
        <f>H381*(1+I381)</f>
        <v/>
      </c>
      <c r="K381" s="169" t="n"/>
      <c r="L381" s="170">
        <f>SUMIFS('HISTORIQUE DOCS'!$H$4:$H$1000,'HISTORIQUE DOCS'!$F$4:$F$1000,A381,'HISTORIQUE DOCS'!$C$4:$C$1000,"FACTURE",'HISTORIQUE DOCS'!$P$4:$P$1000,"VALIDÉ")</f>
        <v/>
      </c>
      <c r="M381" s="170">
        <f>K381-L381</f>
        <v/>
      </c>
      <c r="N381" s="169" t="n"/>
      <c r="O381" s="164" t="n"/>
      <c r="P381" s="164" t="n"/>
    </row>
    <row r="382">
      <c r="A382" s="164" t="n"/>
      <c r="B382" s="164" t="n"/>
      <c r="C382" s="164" t="n"/>
      <c r="D382" s="164" t="n"/>
      <c r="E382" s="166" t="n"/>
      <c r="F382" s="166" t="n"/>
      <c r="G382" s="166" t="n"/>
      <c r="H382" s="167">
        <f>E382+F382+G382</f>
        <v/>
      </c>
      <c r="I382" s="168" t="n"/>
      <c r="J382" s="167">
        <f>H382*(1+I382)</f>
        <v/>
      </c>
      <c r="K382" s="169" t="n"/>
      <c r="L382" s="170">
        <f>SUMIFS('HISTORIQUE DOCS'!$H$4:$H$1000,'HISTORIQUE DOCS'!$F$4:$F$1000,A382,'HISTORIQUE DOCS'!$C$4:$C$1000,"FACTURE",'HISTORIQUE DOCS'!$P$4:$P$1000,"VALIDÉ")</f>
        <v/>
      </c>
      <c r="M382" s="170">
        <f>K382-L382</f>
        <v/>
      </c>
      <c r="N382" s="169" t="n"/>
      <c r="O382" s="164" t="n"/>
      <c r="P382" s="164" t="n"/>
    </row>
    <row r="383">
      <c r="A383" s="164" t="n"/>
      <c r="B383" s="164" t="n"/>
      <c r="C383" s="164" t="n"/>
      <c r="D383" s="164" t="n"/>
      <c r="E383" s="166" t="n"/>
      <c r="F383" s="166" t="n"/>
      <c r="G383" s="166" t="n"/>
      <c r="H383" s="167">
        <f>E383+F383+G383</f>
        <v/>
      </c>
      <c r="I383" s="168" t="n"/>
      <c r="J383" s="167">
        <f>H383*(1+I383)</f>
        <v/>
      </c>
      <c r="K383" s="169" t="n"/>
      <c r="L383" s="170">
        <f>SUMIFS('HISTORIQUE DOCS'!$H$4:$H$1000,'HISTORIQUE DOCS'!$F$4:$F$1000,A383,'HISTORIQUE DOCS'!$C$4:$C$1000,"FACTURE",'HISTORIQUE DOCS'!$P$4:$P$1000,"VALIDÉ")</f>
        <v/>
      </c>
      <c r="M383" s="170">
        <f>K383-L383</f>
        <v/>
      </c>
      <c r="N383" s="169" t="n"/>
      <c r="O383" s="164" t="n"/>
      <c r="P383" s="164" t="n"/>
    </row>
    <row r="384">
      <c r="A384" s="164" t="n"/>
      <c r="B384" s="164" t="n"/>
      <c r="C384" s="164" t="n"/>
      <c r="D384" s="164" t="n"/>
      <c r="E384" s="166" t="n"/>
      <c r="F384" s="166" t="n"/>
      <c r="G384" s="166" t="n"/>
      <c r="H384" s="167">
        <f>E384+F384+G384</f>
        <v/>
      </c>
      <c r="I384" s="168" t="n"/>
      <c r="J384" s="167">
        <f>H384*(1+I384)</f>
        <v/>
      </c>
      <c r="K384" s="169" t="n"/>
      <c r="L384" s="170">
        <f>SUMIFS('HISTORIQUE DOCS'!$H$4:$H$1000,'HISTORIQUE DOCS'!$F$4:$F$1000,A384,'HISTORIQUE DOCS'!$C$4:$C$1000,"FACTURE",'HISTORIQUE DOCS'!$P$4:$P$1000,"VALIDÉ")</f>
        <v/>
      </c>
      <c r="M384" s="170">
        <f>K384-L384</f>
        <v/>
      </c>
      <c r="N384" s="169" t="n"/>
      <c r="O384" s="164" t="n"/>
      <c r="P384" s="164" t="n"/>
    </row>
    <row r="385">
      <c r="A385" s="164" t="n"/>
      <c r="B385" s="164" t="n"/>
      <c r="C385" s="164" t="n"/>
      <c r="D385" s="164" t="n"/>
      <c r="E385" s="166" t="n"/>
      <c r="F385" s="166" t="n"/>
      <c r="G385" s="166" t="n"/>
      <c r="H385" s="167">
        <f>E385+F385+G385</f>
        <v/>
      </c>
      <c r="I385" s="168" t="n"/>
      <c r="J385" s="167">
        <f>H385*(1+I385)</f>
        <v/>
      </c>
      <c r="K385" s="169" t="n"/>
      <c r="L385" s="170">
        <f>SUMIFS('HISTORIQUE DOCS'!$H$4:$H$1000,'HISTORIQUE DOCS'!$F$4:$F$1000,A385,'HISTORIQUE DOCS'!$C$4:$C$1000,"FACTURE",'HISTORIQUE DOCS'!$P$4:$P$1000,"VALIDÉ")</f>
        <v/>
      </c>
      <c r="M385" s="170">
        <f>K385-L385</f>
        <v/>
      </c>
      <c r="N385" s="169" t="n"/>
      <c r="O385" s="164" t="n"/>
      <c r="P385" s="164" t="n"/>
    </row>
    <row r="386">
      <c r="A386" s="164" t="n"/>
      <c r="B386" s="164" t="n"/>
      <c r="C386" s="164" t="n"/>
      <c r="D386" s="164" t="n"/>
      <c r="E386" s="166" t="n"/>
      <c r="F386" s="166" t="n"/>
      <c r="G386" s="166" t="n"/>
      <c r="H386" s="167">
        <f>E386+F386+G386</f>
        <v/>
      </c>
      <c r="I386" s="168" t="n"/>
      <c r="J386" s="167">
        <f>H386*(1+I386)</f>
        <v/>
      </c>
      <c r="K386" s="169" t="n"/>
      <c r="L386" s="170">
        <f>SUMIFS('HISTORIQUE DOCS'!$H$4:$H$1000,'HISTORIQUE DOCS'!$F$4:$F$1000,A386,'HISTORIQUE DOCS'!$C$4:$C$1000,"FACTURE",'HISTORIQUE DOCS'!$P$4:$P$1000,"VALIDÉ")</f>
        <v/>
      </c>
      <c r="M386" s="170">
        <f>K386-L386</f>
        <v/>
      </c>
      <c r="N386" s="169" t="n"/>
      <c r="O386" s="164" t="n"/>
      <c r="P386" s="164" t="n"/>
    </row>
    <row r="387">
      <c r="A387" s="164" t="n"/>
      <c r="B387" s="164" t="n"/>
      <c r="C387" s="164" t="n"/>
      <c r="D387" s="164" t="n"/>
      <c r="E387" s="166" t="n"/>
      <c r="F387" s="166" t="n"/>
      <c r="G387" s="166" t="n"/>
      <c r="H387" s="167">
        <f>E387+F387+G387</f>
        <v/>
      </c>
      <c r="I387" s="168" t="n"/>
      <c r="J387" s="167">
        <f>H387*(1+I387)</f>
        <v/>
      </c>
      <c r="K387" s="169" t="n"/>
      <c r="L387" s="170">
        <f>SUMIFS('HISTORIQUE DOCS'!$H$4:$H$1000,'HISTORIQUE DOCS'!$F$4:$F$1000,A387,'HISTORIQUE DOCS'!$C$4:$C$1000,"FACTURE",'HISTORIQUE DOCS'!$P$4:$P$1000,"VALIDÉ")</f>
        <v/>
      </c>
      <c r="M387" s="170">
        <f>K387-L387</f>
        <v/>
      </c>
      <c r="N387" s="169" t="n"/>
      <c r="O387" s="164" t="n"/>
      <c r="P387" s="164" t="n"/>
    </row>
    <row r="388">
      <c r="A388" s="164" t="n"/>
      <c r="B388" s="164" t="n"/>
      <c r="C388" s="164" t="n"/>
      <c r="D388" s="164" t="n"/>
      <c r="E388" s="166" t="n"/>
      <c r="F388" s="166" t="n"/>
      <c r="G388" s="166" t="n"/>
      <c r="H388" s="167">
        <f>E388+F388+G388</f>
        <v/>
      </c>
      <c r="I388" s="168" t="n"/>
      <c r="J388" s="167">
        <f>H388*(1+I388)</f>
        <v/>
      </c>
      <c r="K388" s="169" t="n"/>
      <c r="L388" s="170">
        <f>SUMIFS('HISTORIQUE DOCS'!$H$4:$H$1000,'HISTORIQUE DOCS'!$F$4:$F$1000,A388,'HISTORIQUE DOCS'!$C$4:$C$1000,"FACTURE",'HISTORIQUE DOCS'!$P$4:$P$1000,"VALIDÉ")</f>
        <v/>
      </c>
      <c r="M388" s="170">
        <f>K388-L388</f>
        <v/>
      </c>
      <c r="N388" s="169" t="n"/>
      <c r="O388" s="164" t="n"/>
      <c r="P388" s="164" t="n"/>
    </row>
    <row r="389">
      <c r="A389" s="164" t="n"/>
      <c r="B389" s="164" t="n"/>
      <c r="C389" s="164" t="n"/>
      <c r="D389" s="164" t="n"/>
      <c r="E389" s="166" t="n"/>
      <c r="F389" s="166" t="n"/>
      <c r="G389" s="166" t="n"/>
      <c r="H389" s="167">
        <f>E389+F389+G389</f>
        <v/>
      </c>
      <c r="I389" s="168" t="n"/>
      <c r="J389" s="167">
        <f>H389*(1+I389)</f>
        <v/>
      </c>
      <c r="K389" s="169" t="n"/>
      <c r="L389" s="170">
        <f>SUMIFS('HISTORIQUE DOCS'!$H$4:$H$1000,'HISTORIQUE DOCS'!$F$4:$F$1000,A389,'HISTORIQUE DOCS'!$C$4:$C$1000,"FACTURE",'HISTORIQUE DOCS'!$P$4:$P$1000,"VALIDÉ")</f>
        <v/>
      </c>
      <c r="M389" s="170">
        <f>K389-L389</f>
        <v/>
      </c>
      <c r="N389" s="169" t="n"/>
      <c r="O389" s="164" t="n"/>
      <c r="P389" s="164" t="n"/>
    </row>
    <row r="390">
      <c r="A390" s="164" t="n"/>
      <c r="B390" s="164" t="n"/>
      <c r="C390" s="164" t="n"/>
      <c r="D390" s="164" t="n"/>
      <c r="E390" s="166" t="n"/>
      <c r="F390" s="166" t="n"/>
      <c r="G390" s="166" t="n"/>
      <c r="H390" s="167">
        <f>E390+F390+G390</f>
        <v/>
      </c>
      <c r="I390" s="168" t="n"/>
      <c r="J390" s="167">
        <f>H390*(1+I390)</f>
        <v/>
      </c>
      <c r="K390" s="169" t="n"/>
      <c r="L390" s="170">
        <f>SUMIFS('HISTORIQUE DOCS'!$H$4:$H$1000,'HISTORIQUE DOCS'!$F$4:$F$1000,A390,'HISTORIQUE DOCS'!$C$4:$C$1000,"FACTURE",'HISTORIQUE DOCS'!$P$4:$P$1000,"VALIDÉ")</f>
        <v/>
      </c>
      <c r="M390" s="170">
        <f>K390-L390</f>
        <v/>
      </c>
      <c r="N390" s="169" t="n"/>
      <c r="O390" s="164" t="n"/>
      <c r="P390" s="164" t="n"/>
    </row>
    <row r="391">
      <c r="A391" s="164" t="n"/>
      <c r="B391" s="164" t="n"/>
      <c r="C391" s="164" t="n"/>
      <c r="D391" s="164" t="n"/>
      <c r="E391" s="166" t="n"/>
      <c r="F391" s="166" t="n"/>
      <c r="G391" s="166" t="n"/>
      <c r="H391" s="167">
        <f>E391+F391+G391</f>
        <v/>
      </c>
      <c r="I391" s="168" t="n"/>
      <c r="J391" s="167">
        <f>H391*(1+I391)</f>
        <v/>
      </c>
      <c r="K391" s="169" t="n"/>
      <c r="L391" s="170">
        <f>SUMIFS('HISTORIQUE DOCS'!$H$4:$H$1000,'HISTORIQUE DOCS'!$F$4:$F$1000,A391,'HISTORIQUE DOCS'!$C$4:$C$1000,"FACTURE",'HISTORIQUE DOCS'!$P$4:$P$1000,"VALIDÉ")</f>
        <v/>
      </c>
      <c r="M391" s="170">
        <f>K391-L391</f>
        <v/>
      </c>
      <c r="N391" s="169" t="n"/>
      <c r="O391" s="164" t="n"/>
      <c r="P391" s="164" t="n"/>
    </row>
    <row r="392">
      <c r="A392" s="164" t="n"/>
      <c r="B392" s="164" t="n"/>
      <c r="C392" s="164" t="n"/>
      <c r="D392" s="164" t="n"/>
      <c r="E392" s="166" t="n"/>
      <c r="F392" s="166" t="n"/>
      <c r="G392" s="166" t="n"/>
      <c r="H392" s="167">
        <f>E392+F392+G392</f>
        <v/>
      </c>
      <c r="I392" s="168" t="n"/>
      <c r="J392" s="167">
        <f>H392*(1+I392)</f>
        <v/>
      </c>
      <c r="K392" s="169" t="n"/>
      <c r="L392" s="170">
        <f>SUMIFS('HISTORIQUE DOCS'!$H$4:$H$1000,'HISTORIQUE DOCS'!$F$4:$F$1000,A392,'HISTORIQUE DOCS'!$C$4:$C$1000,"FACTURE",'HISTORIQUE DOCS'!$P$4:$P$1000,"VALIDÉ")</f>
        <v/>
      </c>
      <c r="M392" s="170">
        <f>K392-L392</f>
        <v/>
      </c>
      <c r="N392" s="169" t="n"/>
      <c r="O392" s="164" t="n"/>
      <c r="P392" s="164" t="n"/>
    </row>
    <row r="393">
      <c r="A393" s="164" t="n"/>
      <c r="B393" s="164" t="n"/>
      <c r="C393" s="164" t="n"/>
      <c r="D393" s="164" t="n"/>
      <c r="E393" s="166" t="n"/>
      <c r="F393" s="166" t="n"/>
      <c r="G393" s="166" t="n"/>
      <c r="H393" s="167">
        <f>E393+F393+G393</f>
        <v/>
      </c>
      <c r="I393" s="168" t="n"/>
      <c r="J393" s="167">
        <f>H393*(1+I393)</f>
        <v/>
      </c>
      <c r="K393" s="169" t="n"/>
      <c r="L393" s="170">
        <f>SUMIFS('HISTORIQUE DOCS'!$H$4:$H$1000,'HISTORIQUE DOCS'!$F$4:$F$1000,A393,'HISTORIQUE DOCS'!$C$4:$C$1000,"FACTURE",'HISTORIQUE DOCS'!$P$4:$P$1000,"VALIDÉ")</f>
        <v/>
      </c>
      <c r="M393" s="170">
        <f>K393-L393</f>
        <v/>
      </c>
      <c r="N393" s="169" t="n"/>
      <c r="O393" s="164" t="n"/>
      <c r="P393" s="164" t="n"/>
    </row>
    <row r="394">
      <c r="A394" s="164" t="n"/>
      <c r="B394" s="164" t="n"/>
      <c r="C394" s="164" t="n"/>
      <c r="D394" s="164" t="n"/>
      <c r="E394" s="166" t="n"/>
      <c r="F394" s="166" t="n"/>
      <c r="G394" s="166" t="n"/>
      <c r="H394" s="167">
        <f>E394+F394+G394</f>
        <v/>
      </c>
      <c r="I394" s="168" t="n"/>
      <c r="J394" s="167">
        <f>H394*(1+I394)</f>
        <v/>
      </c>
      <c r="K394" s="169" t="n"/>
      <c r="L394" s="170">
        <f>SUMIFS('HISTORIQUE DOCS'!$H$4:$H$1000,'HISTORIQUE DOCS'!$F$4:$F$1000,A394,'HISTORIQUE DOCS'!$C$4:$C$1000,"FACTURE",'HISTORIQUE DOCS'!$P$4:$P$1000,"VALIDÉ")</f>
        <v/>
      </c>
      <c r="M394" s="170">
        <f>K394-L394</f>
        <v/>
      </c>
      <c r="N394" s="169" t="n"/>
      <c r="O394" s="164" t="n"/>
      <c r="P394" s="164" t="n"/>
    </row>
    <row r="395">
      <c r="A395" s="164" t="n"/>
      <c r="B395" s="164" t="n"/>
      <c r="C395" s="164" t="n"/>
      <c r="D395" s="164" t="n"/>
      <c r="E395" s="166" t="n"/>
      <c r="F395" s="166" t="n"/>
      <c r="G395" s="166" t="n"/>
      <c r="H395" s="167">
        <f>E395+F395+G395</f>
        <v/>
      </c>
      <c r="I395" s="168" t="n"/>
      <c r="J395" s="167">
        <f>H395*(1+I395)</f>
        <v/>
      </c>
      <c r="K395" s="169" t="n"/>
      <c r="L395" s="170">
        <f>SUMIFS('HISTORIQUE DOCS'!$H$4:$H$1000,'HISTORIQUE DOCS'!$F$4:$F$1000,A395,'HISTORIQUE DOCS'!$C$4:$C$1000,"FACTURE",'HISTORIQUE DOCS'!$P$4:$P$1000,"VALIDÉ")</f>
        <v/>
      </c>
      <c r="M395" s="170">
        <f>K395-L395</f>
        <v/>
      </c>
      <c r="N395" s="169" t="n"/>
      <c r="O395" s="164" t="n"/>
      <c r="P395" s="164" t="n"/>
    </row>
    <row r="396">
      <c r="A396" s="164" t="n"/>
      <c r="B396" s="164" t="n"/>
      <c r="C396" s="164" t="n"/>
      <c r="D396" s="164" t="n"/>
      <c r="E396" s="166" t="n"/>
      <c r="F396" s="166" t="n"/>
      <c r="G396" s="166" t="n"/>
      <c r="H396" s="167">
        <f>E396+F396+G396</f>
        <v/>
      </c>
      <c r="I396" s="168" t="n"/>
      <c r="J396" s="167">
        <f>H396*(1+I396)</f>
        <v/>
      </c>
      <c r="K396" s="169" t="n"/>
      <c r="L396" s="170">
        <f>SUMIFS('HISTORIQUE DOCS'!$H$4:$H$1000,'HISTORIQUE DOCS'!$F$4:$F$1000,A396,'HISTORIQUE DOCS'!$C$4:$C$1000,"FACTURE",'HISTORIQUE DOCS'!$P$4:$P$1000,"VALIDÉ")</f>
        <v/>
      </c>
      <c r="M396" s="170">
        <f>K396-L396</f>
        <v/>
      </c>
      <c r="N396" s="169" t="n"/>
      <c r="O396" s="164" t="n"/>
      <c r="P396" s="164" t="n"/>
    </row>
    <row r="397">
      <c r="A397" s="164" t="n"/>
      <c r="B397" s="164" t="n"/>
      <c r="C397" s="164" t="n"/>
      <c r="D397" s="164" t="n"/>
      <c r="E397" s="166" t="n"/>
      <c r="F397" s="166" t="n"/>
      <c r="G397" s="166" t="n"/>
      <c r="H397" s="167">
        <f>E397+F397+G397</f>
        <v/>
      </c>
      <c r="I397" s="168" t="n"/>
      <c r="J397" s="167">
        <f>H397*(1+I397)</f>
        <v/>
      </c>
      <c r="K397" s="169" t="n"/>
      <c r="L397" s="170">
        <f>SUMIFS('HISTORIQUE DOCS'!$H$4:$H$1000,'HISTORIQUE DOCS'!$F$4:$F$1000,A397,'HISTORIQUE DOCS'!$C$4:$C$1000,"FACTURE",'HISTORIQUE DOCS'!$P$4:$P$1000,"VALIDÉ")</f>
        <v/>
      </c>
      <c r="M397" s="170">
        <f>K397-L397</f>
        <v/>
      </c>
      <c r="N397" s="169" t="n"/>
      <c r="O397" s="164" t="n"/>
      <c r="P397" s="164" t="n"/>
    </row>
    <row r="398">
      <c r="A398" s="164" t="n"/>
      <c r="B398" s="164" t="n"/>
      <c r="C398" s="164" t="n"/>
      <c r="D398" s="164" t="n"/>
      <c r="E398" s="166" t="n"/>
      <c r="F398" s="166" t="n"/>
      <c r="G398" s="166" t="n"/>
      <c r="H398" s="167">
        <f>E398+F398+G398</f>
        <v/>
      </c>
      <c r="I398" s="168" t="n"/>
      <c r="J398" s="167">
        <f>H398*(1+I398)</f>
        <v/>
      </c>
      <c r="K398" s="169" t="n"/>
      <c r="L398" s="170">
        <f>SUMIFS('HISTORIQUE DOCS'!$H$4:$H$1000,'HISTORIQUE DOCS'!$F$4:$F$1000,A398,'HISTORIQUE DOCS'!$C$4:$C$1000,"FACTURE",'HISTORIQUE DOCS'!$P$4:$P$1000,"VALIDÉ")</f>
        <v/>
      </c>
      <c r="M398" s="170">
        <f>K398-L398</f>
        <v/>
      </c>
      <c r="N398" s="169" t="n"/>
      <c r="O398" s="164" t="n"/>
      <c r="P398" s="164" t="n"/>
    </row>
    <row r="399">
      <c r="A399" s="164" t="n"/>
      <c r="B399" s="164" t="n"/>
      <c r="C399" s="164" t="n"/>
      <c r="D399" s="164" t="n"/>
      <c r="E399" s="166" t="n"/>
      <c r="F399" s="166" t="n"/>
      <c r="G399" s="166" t="n"/>
      <c r="H399" s="167">
        <f>E399+F399+G399</f>
        <v/>
      </c>
      <c r="I399" s="168" t="n"/>
      <c r="J399" s="167">
        <f>H399*(1+I399)</f>
        <v/>
      </c>
      <c r="K399" s="169" t="n"/>
      <c r="L399" s="170">
        <f>SUMIFS('HISTORIQUE DOCS'!$H$4:$H$1000,'HISTORIQUE DOCS'!$F$4:$F$1000,A399,'HISTORIQUE DOCS'!$C$4:$C$1000,"FACTURE",'HISTORIQUE DOCS'!$P$4:$P$1000,"VALIDÉ")</f>
        <v/>
      </c>
      <c r="M399" s="170">
        <f>K399-L399</f>
        <v/>
      </c>
      <c r="N399" s="169" t="n"/>
      <c r="O399" s="164" t="n"/>
      <c r="P399" s="164" t="n"/>
    </row>
    <row r="400">
      <c r="A400" s="164" t="n"/>
      <c r="B400" s="164" t="n"/>
      <c r="C400" s="164" t="n"/>
      <c r="D400" s="164" t="n"/>
      <c r="E400" s="166" t="n"/>
      <c r="F400" s="166" t="n"/>
      <c r="G400" s="166" t="n"/>
      <c r="H400" s="167">
        <f>E400+F400+G400</f>
        <v/>
      </c>
      <c r="I400" s="168" t="n"/>
      <c r="J400" s="167">
        <f>H400*(1+I400)</f>
        <v/>
      </c>
      <c r="K400" s="169" t="n"/>
      <c r="L400" s="170">
        <f>SUMIFS('HISTORIQUE DOCS'!$H$4:$H$1000,'HISTORIQUE DOCS'!$F$4:$F$1000,A400,'HISTORIQUE DOCS'!$C$4:$C$1000,"FACTURE",'HISTORIQUE DOCS'!$P$4:$P$1000,"VALIDÉ")</f>
        <v/>
      </c>
      <c r="M400" s="170">
        <f>K400-L400</f>
        <v/>
      </c>
      <c r="N400" s="169" t="n"/>
      <c r="O400" s="164" t="n"/>
      <c r="P400" s="164" t="n"/>
    </row>
    <row r="401">
      <c r="A401" s="164" t="n"/>
      <c r="B401" s="164" t="n"/>
      <c r="C401" s="164" t="n"/>
      <c r="D401" s="164" t="n"/>
      <c r="E401" s="166" t="n"/>
      <c r="F401" s="166" t="n"/>
      <c r="G401" s="166" t="n"/>
      <c r="H401" s="167">
        <f>E401+F401+G401</f>
        <v/>
      </c>
      <c r="I401" s="168" t="n"/>
      <c r="J401" s="167">
        <f>H401*(1+I401)</f>
        <v/>
      </c>
      <c r="K401" s="169" t="n"/>
      <c r="L401" s="170">
        <f>SUMIFS('HISTORIQUE DOCS'!$H$4:$H$1000,'HISTORIQUE DOCS'!$F$4:$F$1000,A401,'HISTORIQUE DOCS'!$C$4:$C$1000,"FACTURE",'HISTORIQUE DOCS'!$P$4:$P$1000,"VALIDÉ")</f>
        <v/>
      </c>
      <c r="M401" s="170">
        <f>K401-L401</f>
        <v/>
      </c>
      <c r="N401" s="169" t="n"/>
      <c r="O401" s="164" t="n"/>
      <c r="P401" s="164" t="n"/>
    </row>
    <row r="402">
      <c r="A402" s="164" t="n"/>
      <c r="B402" s="164" t="n"/>
      <c r="C402" s="164" t="n"/>
      <c r="D402" s="164" t="n"/>
      <c r="E402" s="166" t="n"/>
      <c r="F402" s="166" t="n"/>
      <c r="G402" s="166" t="n"/>
      <c r="H402" s="167">
        <f>E402+F402+G402</f>
        <v/>
      </c>
      <c r="I402" s="168" t="n"/>
      <c r="J402" s="167">
        <f>H402*(1+I402)</f>
        <v/>
      </c>
      <c r="K402" s="169" t="n"/>
      <c r="L402" s="170">
        <f>SUMIFS('HISTORIQUE DOCS'!$H$4:$H$1000,'HISTORIQUE DOCS'!$F$4:$F$1000,A402,'HISTORIQUE DOCS'!$C$4:$C$1000,"FACTURE",'HISTORIQUE DOCS'!$P$4:$P$1000,"VALIDÉ")</f>
        <v/>
      </c>
      <c r="M402" s="170">
        <f>K402-L402</f>
        <v/>
      </c>
      <c r="N402" s="169" t="n"/>
      <c r="O402" s="164" t="n"/>
      <c r="P402" s="164" t="n"/>
    </row>
    <row r="403">
      <c r="A403" s="164" t="n"/>
      <c r="B403" s="164" t="n"/>
      <c r="C403" s="164" t="n"/>
      <c r="D403" s="164" t="n"/>
      <c r="E403" s="166" t="n"/>
      <c r="F403" s="166" t="n"/>
      <c r="G403" s="166" t="n"/>
      <c r="H403" s="167">
        <f>E403+F403+G403</f>
        <v/>
      </c>
      <c r="I403" s="168" t="n"/>
      <c r="J403" s="167">
        <f>H403*(1+I403)</f>
        <v/>
      </c>
      <c r="K403" s="169" t="n"/>
      <c r="L403" s="170">
        <f>SUMIFS('HISTORIQUE DOCS'!$H$4:$H$1000,'HISTORIQUE DOCS'!$F$4:$F$1000,A403,'HISTORIQUE DOCS'!$C$4:$C$1000,"FACTURE",'HISTORIQUE DOCS'!$P$4:$P$1000,"VALIDÉ")</f>
        <v/>
      </c>
      <c r="M403" s="170">
        <f>K403-L403</f>
        <v/>
      </c>
      <c r="N403" s="169" t="n"/>
      <c r="O403" s="164" t="n"/>
      <c r="P403" s="164" t="n"/>
    </row>
    <row r="404">
      <c r="A404" s="164" t="n"/>
      <c r="B404" s="164" t="n"/>
      <c r="C404" s="164" t="n"/>
      <c r="D404" s="164" t="n"/>
      <c r="E404" s="166" t="n"/>
      <c r="F404" s="166" t="n"/>
      <c r="G404" s="166" t="n"/>
      <c r="H404" s="167">
        <f>E404+F404+G404</f>
        <v/>
      </c>
      <c r="I404" s="168" t="n"/>
      <c r="J404" s="167">
        <f>H404*(1+I404)</f>
        <v/>
      </c>
      <c r="K404" s="169" t="n"/>
      <c r="L404" s="170">
        <f>SUMIFS('HISTORIQUE DOCS'!$H$4:$H$1000,'HISTORIQUE DOCS'!$F$4:$F$1000,A404,'HISTORIQUE DOCS'!$C$4:$C$1000,"FACTURE",'HISTORIQUE DOCS'!$P$4:$P$1000,"VALIDÉ")</f>
        <v/>
      </c>
      <c r="M404" s="170">
        <f>K404-L404</f>
        <v/>
      </c>
      <c r="N404" s="169" t="n"/>
      <c r="O404" s="164" t="n"/>
      <c r="P404" s="164" t="n"/>
    </row>
    <row r="405">
      <c r="A405" s="164" t="n"/>
      <c r="B405" s="164" t="n"/>
      <c r="C405" s="164" t="n"/>
      <c r="D405" s="164" t="n"/>
      <c r="E405" s="166" t="n"/>
      <c r="F405" s="166" t="n"/>
      <c r="G405" s="166" t="n"/>
      <c r="H405" s="167">
        <f>E405+F405+G405</f>
        <v/>
      </c>
      <c r="I405" s="168" t="n"/>
      <c r="J405" s="167">
        <f>H405*(1+I405)</f>
        <v/>
      </c>
      <c r="K405" s="169" t="n"/>
      <c r="L405" s="170">
        <f>SUMIFS('HISTORIQUE DOCS'!$H$4:$H$1000,'HISTORIQUE DOCS'!$F$4:$F$1000,A405,'HISTORIQUE DOCS'!$C$4:$C$1000,"FACTURE",'HISTORIQUE DOCS'!$P$4:$P$1000,"VALIDÉ")</f>
        <v/>
      </c>
      <c r="M405" s="170">
        <f>K405-L405</f>
        <v/>
      </c>
      <c r="N405" s="169" t="n"/>
      <c r="O405" s="164" t="n"/>
      <c r="P405" s="164" t="n"/>
    </row>
    <row r="406">
      <c r="A406" s="164" t="n"/>
      <c r="B406" s="164" t="n"/>
      <c r="C406" s="164" t="n"/>
      <c r="D406" s="164" t="n"/>
      <c r="E406" s="166" t="n"/>
      <c r="F406" s="166" t="n"/>
      <c r="G406" s="166" t="n"/>
      <c r="H406" s="167">
        <f>E406+F406+G406</f>
        <v/>
      </c>
      <c r="I406" s="168" t="n"/>
      <c r="J406" s="167">
        <f>H406*(1+I406)</f>
        <v/>
      </c>
      <c r="K406" s="169" t="n"/>
      <c r="L406" s="170">
        <f>SUMIFS('HISTORIQUE DOCS'!$H$4:$H$1000,'HISTORIQUE DOCS'!$F$4:$F$1000,A406,'HISTORIQUE DOCS'!$C$4:$C$1000,"FACTURE",'HISTORIQUE DOCS'!$P$4:$P$1000,"VALIDÉ")</f>
        <v/>
      </c>
      <c r="M406" s="170">
        <f>K406-L406</f>
        <v/>
      </c>
      <c r="N406" s="169" t="n"/>
      <c r="O406" s="164" t="n"/>
      <c r="P406" s="164" t="n"/>
    </row>
    <row r="407">
      <c r="A407" s="164" t="n"/>
      <c r="B407" s="164" t="n"/>
      <c r="C407" s="164" t="n"/>
      <c r="D407" s="164" t="n"/>
      <c r="E407" s="166" t="n"/>
      <c r="F407" s="166" t="n"/>
      <c r="G407" s="166" t="n"/>
      <c r="H407" s="167">
        <f>E407+F407+G407</f>
        <v/>
      </c>
      <c r="I407" s="168" t="n"/>
      <c r="J407" s="167">
        <f>H407*(1+I407)</f>
        <v/>
      </c>
      <c r="K407" s="169" t="n"/>
      <c r="L407" s="170">
        <f>SUMIFS('HISTORIQUE DOCS'!$H$4:$H$1000,'HISTORIQUE DOCS'!$F$4:$F$1000,A407,'HISTORIQUE DOCS'!$C$4:$C$1000,"FACTURE",'HISTORIQUE DOCS'!$P$4:$P$1000,"VALIDÉ")</f>
        <v/>
      </c>
      <c r="M407" s="170">
        <f>K407-L407</f>
        <v/>
      </c>
      <c r="N407" s="169" t="n"/>
      <c r="O407" s="164" t="n"/>
      <c r="P407" s="164" t="n"/>
    </row>
    <row r="408">
      <c r="A408" s="164" t="n"/>
      <c r="B408" s="164" t="n"/>
      <c r="C408" s="164" t="n"/>
      <c r="D408" s="164" t="n"/>
      <c r="E408" s="166" t="n"/>
      <c r="F408" s="166" t="n"/>
      <c r="G408" s="166" t="n"/>
      <c r="H408" s="167">
        <f>E408+F408+G408</f>
        <v/>
      </c>
      <c r="I408" s="168" t="n"/>
      <c r="J408" s="167">
        <f>H408*(1+I408)</f>
        <v/>
      </c>
      <c r="K408" s="169" t="n"/>
      <c r="L408" s="170">
        <f>SUMIFS('HISTORIQUE DOCS'!$H$4:$H$1000,'HISTORIQUE DOCS'!$F$4:$F$1000,A408,'HISTORIQUE DOCS'!$C$4:$C$1000,"FACTURE",'HISTORIQUE DOCS'!$P$4:$P$1000,"VALIDÉ")</f>
        <v/>
      </c>
      <c r="M408" s="170">
        <f>K408-L408</f>
        <v/>
      </c>
      <c r="N408" s="169" t="n"/>
      <c r="O408" s="164" t="n"/>
      <c r="P408" s="164" t="n"/>
    </row>
    <row r="409">
      <c r="A409" s="164" t="n"/>
      <c r="B409" s="164" t="n"/>
      <c r="C409" s="164" t="n"/>
      <c r="D409" s="164" t="n"/>
      <c r="E409" s="166" t="n"/>
      <c r="F409" s="166" t="n"/>
      <c r="G409" s="166" t="n"/>
      <c r="H409" s="167">
        <f>E409+F409+G409</f>
        <v/>
      </c>
      <c r="I409" s="168" t="n"/>
      <c r="J409" s="167">
        <f>H409*(1+I409)</f>
        <v/>
      </c>
      <c r="K409" s="169" t="n"/>
      <c r="L409" s="170">
        <f>SUMIFS('HISTORIQUE DOCS'!$H$4:$H$1000,'HISTORIQUE DOCS'!$F$4:$F$1000,A409,'HISTORIQUE DOCS'!$C$4:$C$1000,"FACTURE",'HISTORIQUE DOCS'!$P$4:$P$1000,"VALIDÉ")</f>
        <v/>
      </c>
      <c r="M409" s="170">
        <f>K409-L409</f>
        <v/>
      </c>
      <c r="N409" s="169" t="n"/>
      <c r="O409" s="164" t="n"/>
      <c r="P409" s="164" t="n"/>
    </row>
    <row r="410">
      <c r="A410" s="164" t="n"/>
      <c r="B410" s="164" t="n"/>
      <c r="C410" s="164" t="n"/>
      <c r="D410" s="164" t="n"/>
      <c r="E410" s="166" t="n"/>
      <c r="F410" s="166" t="n"/>
      <c r="G410" s="166" t="n"/>
      <c r="H410" s="167">
        <f>E410+F410+G410</f>
        <v/>
      </c>
      <c r="I410" s="168" t="n"/>
      <c r="J410" s="167">
        <f>H410*(1+I410)</f>
        <v/>
      </c>
      <c r="K410" s="169" t="n"/>
      <c r="L410" s="170">
        <f>SUMIFS('HISTORIQUE DOCS'!$H$4:$H$1000,'HISTORIQUE DOCS'!$F$4:$F$1000,A410,'HISTORIQUE DOCS'!$C$4:$C$1000,"FACTURE",'HISTORIQUE DOCS'!$P$4:$P$1000,"VALIDÉ")</f>
        <v/>
      </c>
      <c r="M410" s="170">
        <f>K410-L410</f>
        <v/>
      </c>
      <c r="N410" s="169" t="n"/>
      <c r="O410" s="164" t="n"/>
      <c r="P410" s="164" t="n"/>
    </row>
    <row r="411">
      <c r="A411" s="164" t="n"/>
      <c r="B411" s="164" t="n"/>
      <c r="C411" s="164" t="n"/>
      <c r="D411" s="164" t="n"/>
      <c r="E411" s="166" t="n"/>
      <c r="F411" s="166" t="n"/>
      <c r="G411" s="166" t="n"/>
      <c r="H411" s="167">
        <f>E411+F411+G411</f>
        <v/>
      </c>
      <c r="I411" s="168" t="n"/>
      <c r="J411" s="167">
        <f>H411*(1+I411)</f>
        <v/>
      </c>
      <c r="K411" s="169" t="n"/>
      <c r="L411" s="170">
        <f>SUMIFS('HISTORIQUE DOCS'!$H$4:$H$1000,'HISTORIQUE DOCS'!$F$4:$F$1000,A411,'HISTORIQUE DOCS'!$C$4:$C$1000,"FACTURE",'HISTORIQUE DOCS'!$P$4:$P$1000,"VALIDÉ")</f>
        <v/>
      </c>
      <c r="M411" s="170">
        <f>K411-L411</f>
        <v/>
      </c>
      <c r="N411" s="169" t="n"/>
      <c r="O411" s="164" t="n"/>
      <c r="P411" s="164" t="n"/>
    </row>
    <row r="412">
      <c r="A412" s="164" t="n"/>
      <c r="B412" s="164" t="n"/>
      <c r="C412" s="164" t="n"/>
      <c r="D412" s="164" t="n"/>
      <c r="E412" s="166" t="n"/>
      <c r="F412" s="166" t="n"/>
      <c r="G412" s="166" t="n"/>
      <c r="H412" s="167">
        <f>E412+F412+G412</f>
        <v/>
      </c>
      <c r="I412" s="168" t="n"/>
      <c r="J412" s="167">
        <f>H412*(1+I412)</f>
        <v/>
      </c>
      <c r="K412" s="169" t="n"/>
      <c r="L412" s="170">
        <f>SUMIFS('HISTORIQUE DOCS'!$H$4:$H$1000,'HISTORIQUE DOCS'!$F$4:$F$1000,A412,'HISTORIQUE DOCS'!$C$4:$C$1000,"FACTURE",'HISTORIQUE DOCS'!$P$4:$P$1000,"VALIDÉ")</f>
        <v/>
      </c>
      <c r="M412" s="170">
        <f>K412-L412</f>
        <v/>
      </c>
      <c r="N412" s="169" t="n"/>
      <c r="O412" s="164" t="n"/>
      <c r="P412" s="164" t="n"/>
    </row>
    <row r="413">
      <c r="A413" s="164" t="n"/>
      <c r="B413" s="164" t="n"/>
      <c r="C413" s="164" t="n"/>
      <c r="D413" s="164" t="n"/>
      <c r="E413" s="166" t="n"/>
      <c r="F413" s="166" t="n"/>
      <c r="G413" s="166" t="n"/>
      <c r="H413" s="167">
        <f>E413+F413+G413</f>
        <v/>
      </c>
      <c r="I413" s="168" t="n"/>
      <c r="J413" s="167">
        <f>H413*(1+I413)</f>
        <v/>
      </c>
      <c r="K413" s="169" t="n"/>
      <c r="L413" s="170">
        <f>SUMIFS('HISTORIQUE DOCS'!$H$4:$H$1000,'HISTORIQUE DOCS'!$F$4:$F$1000,A413,'HISTORIQUE DOCS'!$C$4:$C$1000,"FACTURE",'HISTORIQUE DOCS'!$P$4:$P$1000,"VALIDÉ")</f>
        <v/>
      </c>
      <c r="M413" s="170">
        <f>K413-L413</f>
        <v/>
      </c>
      <c r="N413" s="169" t="n"/>
      <c r="O413" s="164" t="n"/>
      <c r="P413" s="164" t="n"/>
    </row>
    <row r="414">
      <c r="A414" s="164" t="n"/>
      <c r="B414" s="164" t="n"/>
      <c r="C414" s="164" t="n"/>
      <c r="D414" s="164" t="n"/>
      <c r="E414" s="166" t="n"/>
      <c r="F414" s="166" t="n"/>
      <c r="G414" s="166" t="n"/>
      <c r="H414" s="167">
        <f>E414+F414+G414</f>
        <v/>
      </c>
      <c r="I414" s="168" t="n"/>
      <c r="J414" s="167">
        <f>H414*(1+I414)</f>
        <v/>
      </c>
      <c r="K414" s="169" t="n"/>
      <c r="L414" s="170">
        <f>SUMIFS('HISTORIQUE DOCS'!$H$4:$H$1000,'HISTORIQUE DOCS'!$F$4:$F$1000,A414,'HISTORIQUE DOCS'!$C$4:$C$1000,"FACTURE",'HISTORIQUE DOCS'!$P$4:$P$1000,"VALIDÉ")</f>
        <v/>
      </c>
      <c r="M414" s="170">
        <f>K414-L414</f>
        <v/>
      </c>
      <c r="N414" s="169" t="n"/>
      <c r="O414" s="164" t="n"/>
      <c r="P414" s="164" t="n"/>
    </row>
    <row r="415">
      <c r="A415" s="164" t="n"/>
      <c r="B415" s="164" t="n"/>
      <c r="C415" s="164" t="n"/>
      <c r="D415" s="164" t="n"/>
      <c r="E415" s="166" t="n"/>
      <c r="F415" s="166" t="n"/>
      <c r="G415" s="166" t="n"/>
      <c r="H415" s="167">
        <f>E415+F415+G415</f>
        <v/>
      </c>
      <c r="I415" s="168" t="n"/>
      <c r="J415" s="167">
        <f>H415*(1+I415)</f>
        <v/>
      </c>
      <c r="K415" s="169" t="n"/>
      <c r="L415" s="170">
        <f>SUMIFS('HISTORIQUE DOCS'!$H$4:$H$1000,'HISTORIQUE DOCS'!$F$4:$F$1000,A415,'HISTORIQUE DOCS'!$C$4:$C$1000,"FACTURE",'HISTORIQUE DOCS'!$P$4:$P$1000,"VALIDÉ")</f>
        <v/>
      </c>
      <c r="M415" s="170">
        <f>K415-L415</f>
        <v/>
      </c>
      <c r="N415" s="169" t="n"/>
      <c r="O415" s="164" t="n"/>
      <c r="P415" s="164" t="n"/>
    </row>
    <row r="416">
      <c r="A416" s="164" t="n"/>
      <c r="B416" s="164" t="n"/>
      <c r="C416" s="164" t="n"/>
      <c r="D416" s="164" t="n"/>
      <c r="E416" s="166" t="n"/>
      <c r="F416" s="166" t="n"/>
      <c r="G416" s="166" t="n"/>
      <c r="H416" s="167">
        <f>E416+F416+G416</f>
        <v/>
      </c>
      <c r="I416" s="168" t="n"/>
      <c r="J416" s="167">
        <f>H416*(1+I416)</f>
        <v/>
      </c>
      <c r="K416" s="169" t="n"/>
      <c r="L416" s="170">
        <f>SUMIFS('HISTORIQUE DOCS'!$H$4:$H$1000,'HISTORIQUE DOCS'!$F$4:$F$1000,A416,'HISTORIQUE DOCS'!$C$4:$C$1000,"FACTURE",'HISTORIQUE DOCS'!$P$4:$P$1000,"VALIDÉ")</f>
        <v/>
      </c>
      <c r="M416" s="170">
        <f>K416-L416</f>
        <v/>
      </c>
      <c r="N416" s="169" t="n"/>
      <c r="O416" s="164" t="n"/>
      <c r="P416" s="164" t="n"/>
    </row>
    <row r="417">
      <c r="A417" s="164" t="n"/>
      <c r="B417" s="164" t="n"/>
      <c r="C417" s="164" t="n"/>
      <c r="D417" s="164" t="n"/>
      <c r="E417" s="166" t="n"/>
      <c r="F417" s="166" t="n"/>
      <c r="G417" s="166" t="n"/>
      <c r="H417" s="167">
        <f>E417+F417+G417</f>
        <v/>
      </c>
      <c r="I417" s="168" t="n"/>
      <c r="J417" s="167">
        <f>H417*(1+I417)</f>
        <v/>
      </c>
      <c r="K417" s="169" t="n"/>
      <c r="L417" s="170">
        <f>SUMIFS('HISTORIQUE DOCS'!$H$4:$H$1000,'HISTORIQUE DOCS'!$F$4:$F$1000,A417,'HISTORIQUE DOCS'!$C$4:$C$1000,"FACTURE",'HISTORIQUE DOCS'!$P$4:$P$1000,"VALIDÉ")</f>
        <v/>
      </c>
      <c r="M417" s="170">
        <f>K417-L417</f>
        <v/>
      </c>
      <c r="N417" s="169" t="n"/>
      <c r="O417" s="164" t="n"/>
      <c r="P417" s="164" t="n"/>
    </row>
    <row r="418">
      <c r="A418" s="164" t="n"/>
      <c r="B418" s="164" t="n"/>
      <c r="C418" s="164" t="n"/>
      <c r="D418" s="164" t="n"/>
      <c r="E418" s="166" t="n"/>
      <c r="F418" s="166" t="n"/>
      <c r="G418" s="166" t="n"/>
      <c r="H418" s="167">
        <f>E418+F418+G418</f>
        <v/>
      </c>
      <c r="I418" s="168" t="n"/>
      <c r="J418" s="167">
        <f>H418*(1+I418)</f>
        <v/>
      </c>
      <c r="K418" s="169" t="n"/>
      <c r="L418" s="170">
        <f>SUMIFS('HISTORIQUE DOCS'!$H$4:$H$1000,'HISTORIQUE DOCS'!$F$4:$F$1000,A418,'HISTORIQUE DOCS'!$C$4:$C$1000,"FACTURE",'HISTORIQUE DOCS'!$P$4:$P$1000,"VALIDÉ")</f>
        <v/>
      </c>
      <c r="M418" s="170">
        <f>K418-L418</f>
        <v/>
      </c>
      <c r="N418" s="169" t="n"/>
      <c r="O418" s="164" t="n"/>
      <c r="P418" s="164" t="n"/>
    </row>
    <row r="419">
      <c r="A419" s="164" t="n"/>
      <c r="B419" s="164" t="n"/>
      <c r="C419" s="164" t="n"/>
      <c r="D419" s="164" t="n"/>
      <c r="E419" s="166" t="n"/>
      <c r="F419" s="166" t="n"/>
      <c r="G419" s="166" t="n"/>
      <c r="H419" s="167">
        <f>E419+F419+G419</f>
        <v/>
      </c>
      <c r="I419" s="168" t="n"/>
      <c r="J419" s="167">
        <f>H419*(1+I419)</f>
        <v/>
      </c>
      <c r="K419" s="169" t="n"/>
      <c r="L419" s="170">
        <f>SUMIFS('HISTORIQUE DOCS'!$H$4:$H$1000,'HISTORIQUE DOCS'!$F$4:$F$1000,A419,'HISTORIQUE DOCS'!$C$4:$C$1000,"FACTURE",'HISTORIQUE DOCS'!$P$4:$P$1000,"VALIDÉ")</f>
        <v/>
      </c>
      <c r="M419" s="170">
        <f>K419-L419</f>
        <v/>
      </c>
      <c r="N419" s="169" t="n"/>
      <c r="O419" s="164" t="n"/>
      <c r="P419" s="164" t="n"/>
    </row>
    <row r="420">
      <c r="A420" s="164" t="n"/>
      <c r="B420" s="164" t="n"/>
      <c r="C420" s="164" t="n"/>
      <c r="D420" s="164" t="n"/>
      <c r="E420" s="166" t="n"/>
      <c r="F420" s="166" t="n"/>
      <c r="G420" s="166" t="n"/>
      <c r="H420" s="167">
        <f>E420+F420+G420</f>
        <v/>
      </c>
      <c r="I420" s="168" t="n"/>
      <c r="J420" s="167">
        <f>H420*(1+I420)</f>
        <v/>
      </c>
      <c r="K420" s="169" t="n"/>
      <c r="L420" s="170">
        <f>SUMIFS('HISTORIQUE DOCS'!$H$4:$H$1000,'HISTORIQUE DOCS'!$F$4:$F$1000,A420,'HISTORIQUE DOCS'!$C$4:$C$1000,"FACTURE",'HISTORIQUE DOCS'!$P$4:$P$1000,"VALIDÉ")</f>
        <v/>
      </c>
      <c r="M420" s="170">
        <f>K420-L420</f>
        <v/>
      </c>
      <c r="N420" s="169" t="n"/>
      <c r="O420" s="164" t="n"/>
      <c r="P420" s="164" t="n"/>
    </row>
    <row r="421">
      <c r="A421" s="164" t="n"/>
      <c r="B421" s="164" t="n"/>
      <c r="C421" s="164" t="n"/>
      <c r="D421" s="164" t="n"/>
      <c r="E421" s="166" t="n"/>
      <c r="F421" s="166" t="n"/>
      <c r="G421" s="166" t="n"/>
      <c r="H421" s="167">
        <f>E421+F421+G421</f>
        <v/>
      </c>
      <c r="I421" s="168" t="n"/>
      <c r="J421" s="167">
        <f>H421*(1+I421)</f>
        <v/>
      </c>
      <c r="K421" s="169" t="n"/>
      <c r="L421" s="170">
        <f>SUMIFS('HISTORIQUE DOCS'!$H$4:$H$1000,'HISTORIQUE DOCS'!$F$4:$F$1000,A421,'HISTORIQUE DOCS'!$C$4:$C$1000,"FACTURE",'HISTORIQUE DOCS'!$P$4:$P$1000,"VALIDÉ")</f>
        <v/>
      </c>
      <c r="M421" s="170">
        <f>K421-L421</f>
        <v/>
      </c>
      <c r="N421" s="169" t="n"/>
      <c r="O421" s="164" t="n"/>
      <c r="P421" s="164" t="n"/>
    </row>
    <row r="422">
      <c r="A422" s="164" t="n"/>
      <c r="B422" s="164" t="n"/>
      <c r="C422" s="164" t="n"/>
      <c r="D422" s="164" t="n"/>
      <c r="E422" s="166" t="n"/>
      <c r="F422" s="166" t="n"/>
      <c r="G422" s="166" t="n"/>
      <c r="H422" s="167">
        <f>E422+F422+G422</f>
        <v/>
      </c>
      <c r="I422" s="168" t="n"/>
      <c r="J422" s="167">
        <f>H422*(1+I422)</f>
        <v/>
      </c>
      <c r="K422" s="169" t="n"/>
      <c r="L422" s="170">
        <f>SUMIFS('HISTORIQUE DOCS'!$H$4:$H$1000,'HISTORIQUE DOCS'!$F$4:$F$1000,A422,'HISTORIQUE DOCS'!$C$4:$C$1000,"FACTURE",'HISTORIQUE DOCS'!$P$4:$P$1000,"VALIDÉ")</f>
        <v/>
      </c>
      <c r="M422" s="170">
        <f>K422-L422</f>
        <v/>
      </c>
      <c r="N422" s="169" t="n"/>
      <c r="O422" s="164" t="n"/>
      <c r="P422" s="164" t="n"/>
    </row>
    <row r="423">
      <c r="A423" s="164" t="n"/>
      <c r="B423" s="164" t="n"/>
      <c r="C423" s="164" t="n"/>
      <c r="D423" s="164" t="n"/>
      <c r="E423" s="166" t="n"/>
      <c r="F423" s="166" t="n"/>
      <c r="G423" s="166" t="n"/>
      <c r="H423" s="167">
        <f>E423+F423+G423</f>
        <v/>
      </c>
      <c r="I423" s="168" t="n"/>
      <c r="J423" s="167">
        <f>H423*(1+I423)</f>
        <v/>
      </c>
      <c r="K423" s="169" t="n"/>
      <c r="L423" s="170">
        <f>SUMIFS('HISTORIQUE DOCS'!$H$4:$H$1000,'HISTORIQUE DOCS'!$F$4:$F$1000,A423,'HISTORIQUE DOCS'!$C$4:$C$1000,"FACTURE",'HISTORIQUE DOCS'!$P$4:$P$1000,"VALIDÉ")</f>
        <v/>
      </c>
      <c r="M423" s="170">
        <f>K423-L423</f>
        <v/>
      </c>
      <c r="N423" s="169" t="n"/>
      <c r="O423" s="164" t="n"/>
      <c r="P423" s="164" t="n"/>
    </row>
    <row r="424">
      <c r="A424" s="164" t="n"/>
      <c r="B424" s="164" t="n"/>
      <c r="C424" s="164" t="n"/>
      <c r="D424" s="164" t="n"/>
      <c r="E424" s="166" t="n"/>
      <c r="F424" s="166" t="n"/>
      <c r="G424" s="166" t="n"/>
      <c r="H424" s="167">
        <f>E424+F424+G424</f>
        <v/>
      </c>
      <c r="I424" s="168" t="n"/>
      <c r="J424" s="167">
        <f>H424*(1+I424)</f>
        <v/>
      </c>
      <c r="K424" s="169" t="n"/>
      <c r="L424" s="170">
        <f>SUMIFS('HISTORIQUE DOCS'!$H$4:$H$1000,'HISTORIQUE DOCS'!$F$4:$F$1000,A424,'HISTORIQUE DOCS'!$C$4:$C$1000,"FACTURE",'HISTORIQUE DOCS'!$P$4:$P$1000,"VALIDÉ")</f>
        <v/>
      </c>
      <c r="M424" s="170">
        <f>K424-L424</f>
        <v/>
      </c>
      <c r="N424" s="169" t="n"/>
      <c r="O424" s="164" t="n"/>
      <c r="P424" s="164" t="n"/>
    </row>
    <row r="425">
      <c r="A425" s="164" t="n"/>
      <c r="B425" s="164" t="n"/>
      <c r="C425" s="164" t="n"/>
      <c r="D425" s="164" t="n"/>
      <c r="E425" s="166" t="n"/>
      <c r="F425" s="166" t="n"/>
      <c r="G425" s="166" t="n"/>
      <c r="H425" s="167">
        <f>E425+F425+G425</f>
        <v/>
      </c>
      <c r="I425" s="168" t="n"/>
      <c r="J425" s="167">
        <f>H425*(1+I425)</f>
        <v/>
      </c>
      <c r="K425" s="169" t="n"/>
      <c r="L425" s="170">
        <f>SUMIFS('HISTORIQUE DOCS'!$H$4:$H$1000,'HISTORIQUE DOCS'!$F$4:$F$1000,A425,'HISTORIQUE DOCS'!$C$4:$C$1000,"FACTURE",'HISTORIQUE DOCS'!$P$4:$P$1000,"VALIDÉ")</f>
        <v/>
      </c>
      <c r="M425" s="170">
        <f>K425-L425</f>
        <v/>
      </c>
      <c r="N425" s="169" t="n"/>
      <c r="O425" s="164" t="n"/>
      <c r="P425" s="164" t="n"/>
    </row>
    <row r="426">
      <c r="A426" s="164" t="n"/>
      <c r="B426" s="164" t="n"/>
      <c r="C426" s="164" t="n"/>
      <c r="D426" s="164" t="n"/>
      <c r="E426" s="166" t="n"/>
      <c r="F426" s="166" t="n"/>
      <c r="G426" s="166" t="n"/>
      <c r="H426" s="167">
        <f>E426+F426+G426</f>
        <v/>
      </c>
      <c r="I426" s="168" t="n"/>
      <c r="J426" s="167">
        <f>H426*(1+I426)</f>
        <v/>
      </c>
      <c r="K426" s="169" t="n"/>
      <c r="L426" s="170">
        <f>SUMIFS('HISTORIQUE DOCS'!$H$4:$H$1000,'HISTORIQUE DOCS'!$F$4:$F$1000,A426,'HISTORIQUE DOCS'!$C$4:$C$1000,"FACTURE",'HISTORIQUE DOCS'!$P$4:$P$1000,"VALIDÉ")</f>
        <v/>
      </c>
      <c r="M426" s="170">
        <f>K426-L426</f>
        <v/>
      </c>
      <c r="N426" s="169" t="n"/>
      <c r="O426" s="164" t="n"/>
      <c r="P426" s="164" t="n"/>
    </row>
    <row r="427">
      <c r="A427" s="164" t="n"/>
      <c r="B427" s="164" t="n"/>
      <c r="C427" s="164" t="n"/>
      <c r="D427" s="164" t="n"/>
      <c r="E427" s="166" t="n"/>
      <c r="F427" s="166" t="n"/>
      <c r="G427" s="166" t="n"/>
      <c r="H427" s="167">
        <f>E427+F427+G427</f>
        <v/>
      </c>
      <c r="I427" s="168" t="n"/>
      <c r="J427" s="167">
        <f>H427*(1+I427)</f>
        <v/>
      </c>
      <c r="K427" s="169" t="n"/>
      <c r="L427" s="170">
        <f>SUMIFS('HISTORIQUE DOCS'!$H$4:$H$1000,'HISTORIQUE DOCS'!$F$4:$F$1000,A427,'HISTORIQUE DOCS'!$C$4:$C$1000,"FACTURE",'HISTORIQUE DOCS'!$P$4:$P$1000,"VALIDÉ")</f>
        <v/>
      </c>
      <c r="M427" s="170">
        <f>K427-L427</f>
        <v/>
      </c>
      <c r="N427" s="169" t="n"/>
      <c r="O427" s="164" t="n"/>
      <c r="P427" s="164" t="n"/>
    </row>
    <row r="428">
      <c r="A428" s="164" t="n"/>
      <c r="B428" s="164" t="n"/>
      <c r="C428" s="164" t="n"/>
      <c r="D428" s="164" t="n"/>
      <c r="E428" s="166" t="n"/>
      <c r="F428" s="166" t="n"/>
      <c r="G428" s="166" t="n"/>
      <c r="H428" s="167">
        <f>E428+F428+G428</f>
        <v/>
      </c>
      <c r="I428" s="168" t="n"/>
      <c r="J428" s="167">
        <f>H428*(1+I428)</f>
        <v/>
      </c>
      <c r="K428" s="169" t="n"/>
      <c r="L428" s="170">
        <f>SUMIFS('HISTORIQUE DOCS'!$H$4:$H$1000,'HISTORIQUE DOCS'!$F$4:$F$1000,A428,'HISTORIQUE DOCS'!$C$4:$C$1000,"FACTURE",'HISTORIQUE DOCS'!$P$4:$P$1000,"VALIDÉ")</f>
        <v/>
      </c>
      <c r="M428" s="170">
        <f>K428-L428</f>
        <v/>
      </c>
      <c r="N428" s="169" t="n"/>
      <c r="O428" s="164" t="n"/>
      <c r="P428" s="164" t="n"/>
    </row>
    <row r="429">
      <c r="A429" s="164" t="n"/>
      <c r="B429" s="164" t="n"/>
      <c r="C429" s="164" t="n"/>
      <c r="D429" s="164" t="n"/>
      <c r="E429" s="166" t="n"/>
      <c r="F429" s="166" t="n"/>
      <c r="G429" s="166" t="n"/>
      <c r="H429" s="167">
        <f>E429+F429+G429</f>
        <v/>
      </c>
      <c r="I429" s="168" t="n"/>
      <c r="J429" s="167">
        <f>H429*(1+I429)</f>
        <v/>
      </c>
      <c r="K429" s="169" t="n"/>
      <c r="L429" s="170">
        <f>SUMIFS('HISTORIQUE DOCS'!$H$4:$H$1000,'HISTORIQUE DOCS'!$F$4:$F$1000,A429,'HISTORIQUE DOCS'!$C$4:$C$1000,"FACTURE",'HISTORIQUE DOCS'!$P$4:$P$1000,"VALIDÉ")</f>
        <v/>
      </c>
      <c r="M429" s="170">
        <f>K429-L429</f>
        <v/>
      </c>
      <c r="N429" s="169" t="n"/>
      <c r="O429" s="164" t="n"/>
      <c r="P429" s="164" t="n"/>
    </row>
    <row r="430">
      <c r="A430" s="164" t="n"/>
      <c r="B430" s="164" t="n"/>
      <c r="C430" s="164" t="n"/>
      <c r="D430" s="164" t="n"/>
      <c r="E430" s="166" t="n"/>
      <c r="F430" s="166" t="n"/>
      <c r="G430" s="166" t="n"/>
      <c r="H430" s="167">
        <f>E430+F430+G430</f>
        <v/>
      </c>
      <c r="I430" s="168" t="n"/>
      <c r="J430" s="167">
        <f>H430*(1+I430)</f>
        <v/>
      </c>
      <c r="K430" s="169" t="n"/>
      <c r="L430" s="170">
        <f>SUMIFS('HISTORIQUE DOCS'!$H$4:$H$1000,'HISTORIQUE DOCS'!$F$4:$F$1000,A430,'HISTORIQUE DOCS'!$C$4:$C$1000,"FACTURE",'HISTORIQUE DOCS'!$P$4:$P$1000,"VALIDÉ")</f>
        <v/>
      </c>
      <c r="M430" s="170">
        <f>K430-L430</f>
        <v/>
      </c>
      <c r="N430" s="169" t="n"/>
      <c r="O430" s="164" t="n"/>
      <c r="P430" s="164" t="n"/>
    </row>
    <row r="431">
      <c r="A431" s="164" t="n"/>
      <c r="B431" s="164" t="n"/>
      <c r="C431" s="164" t="n"/>
      <c r="D431" s="164" t="n"/>
      <c r="E431" s="166" t="n"/>
      <c r="F431" s="166" t="n"/>
      <c r="G431" s="166" t="n"/>
      <c r="H431" s="167">
        <f>E431+F431+G431</f>
        <v/>
      </c>
      <c r="I431" s="168" t="n"/>
      <c r="J431" s="167">
        <f>H431*(1+I431)</f>
        <v/>
      </c>
      <c r="K431" s="169" t="n"/>
      <c r="L431" s="170">
        <f>SUMIFS('HISTORIQUE DOCS'!$H$4:$H$1000,'HISTORIQUE DOCS'!$F$4:$F$1000,A431,'HISTORIQUE DOCS'!$C$4:$C$1000,"FACTURE",'HISTORIQUE DOCS'!$P$4:$P$1000,"VALIDÉ")</f>
        <v/>
      </c>
      <c r="M431" s="170">
        <f>K431-L431</f>
        <v/>
      </c>
      <c r="N431" s="169" t="n"/>
      <c r="O431" s="164" t="n"/>
      <c r="P431" s="164" t="n"/>
    </row>
    <row r="432">
      <c r="A432" s="164" t="n"/>
      <c r="B432" s="164" t="n"/>
      <c r="C432" s="164" t="n"/>
      <c r="D432" s="164" t="n"/>
      <c r="E432" s="166" t="n"/>
      <c r="F432" s="166" t="n"/>
      <c r="G432" s="166" t="n"/>
      <c r="H432" s="167">
        <f>E432+F432+G432</f>
        <v/>
      </c>
      <c r="I432" s="168" t="n"/>
      <c r="J432" s="167">
        <f>H432*(1+I432)</f>
        <v/>
      </c>
      <c r="K432" s="169" t="n"/>
      <c r="L432" s="170">
        <f>SUMIFS('HISTORIQUE DOCS'!$H$4:$H$1000,'HISTORIQUE DOCS'!$F$4:$F$1000,A432,'HISTORIQUE DOCS'!$C$4:$C$1000,"FACTURE",'HISTORIQUE DOCS'!$P$4:$P$1000,"VALIDÉ")</f>
        <v/>
      </c>
      <c r="M432" s="170">
        <f>K432-L432</f>
        <v/>
      </c>
      <c r="N432" s="169" t="n"/>
      <c r="O432" s="164" t="n"/>
      <c r="P432" s="164" t="n"/>
    </row>
    <row r="433">
      <c r="A433" s="164" t="n"/>
      <c r="B433" s="164" t="n"/>
      <c r="C433" s="164" t="n"/>
      <c r="D433" s="164" t="n"/>
      <c r="E433" s="166" t="n"/>
      <c r="F433" s="166" t="n"/>
      <c r="G433" s="166" t="n"/>
      <c r="H433" s="167">
        <f>E433+F433+G433</f>
        <v/>
      </c>
      <c r="I433" s="168" t="n"/>
      <c r="J433" s="167">
        <f>H433*(1+I433)</f>
        <v/>
      </c>
      <c r="K433" s="169" t="n"/>
      <c r="L433" s="170">
        <f>SUMIFS('HISTORIQUE DOCS'!$H$4:$H$1000,'HISTORIQUE DOCS'!$F$4:$F$1000,A433,'HISTORIQUE DOCS'!$C$4:$C$1000,"FACTURE",'HISTORIQUE DOCS'!$P$4:$P$1000,"VALIDÉ")</f>
        <v/>
      </c>
      <c r="M433" s="170">
        <f>K433-L433</f>
        <v/>
      </c>
      <c r="N433" s="169" t="n"/>
      <c r="O433" s="164" t="n"/>
      <c r="P433" s="164" t="n"/>
    </row>
    <row r="434">
      <c r="A434" s="164" t="n"/>
      <c r="B434" s="164" t="n"/>
      <c r="C434" s="164" t="n"/>
      <c r="D434" s="164" t="n"/>
      <c r="E434" s="166" t="n"/>
      <c r="F434" s="166" t="n"/>
      <c r="G434" s="166" t="n"/>
      <c r="H434" s="167">
        <f>E434+F434+G434</f>
        <v/>
      </c>
      <c r="I434" s="168" t="n"/>
      <c r="J434" s="167">
        <f>H434*(1+I434)</f>
        <v/>
      </c>
      <c r="K434" s="169" t="n"/>
      <c r="L434" s="170">
        <f>SUMIFS('HISTORIQUE DOCS'!$H$4:$H$1000,'HISTORIQUE DOCS'!$F$4:$F$1000,A434,'HISTORIQUE DOCS'!$C$4:$C$1000,"FACTURE",'HISTORIQUE DOCS'!$P$4:$P$1000,"VALIDÉ")</f>
        <v/>
      </c>
      <c r="M434" s="170">
        <f>K434-L434</f>
        <v/>
      </c>
      <c r="N434" s="169" t="n"/>
      <c r="O434" s="164" t="n"/>
      <c r="P434" s="164" t="n"/>
    </row>
    <row r="435">
      <c r="A435" s="164" t="n"/>
      <c r="B435" s="164" t="n"/>
      <c r="C435" s="164" t="n"/>
      <c r="D435" s="164" t="n"/>
      <c r="E435" s="166" t="n"/>
      <c r="F435" s="166" t="n"/>
      <c r="G435" s="166" t="n"/>
      <c r="H435" s="167">
        <f>E435+F435+G435</f>
        <v/>
      </c>
      <c r="I435" s="168" t="n"/>
      <c r="J435" s="167">
        <f>H435*(1+I435)</f>
        <v/>
      </c>
      <c r="K435" s="169" t="n"/>
      <c r="L435" s="170">
        <f>SUMIFS('HISTORIQUE DOCS'!$H$4:$H$1000,'HISTORIQUE DOCS'!$F$4:$F$1000,A435,'HISTORIQUE DOCS'!$C$4:$C$1000,"FACTURE",'HISTORIQUE DOCS'!$P$4:$P$1000,"VALIDÉ")</f>
        <v/>
      </c>
      <c r="M435" s="170">
        <f>K435-L435</f>
        <v/>
      </c>
      <c r="N435" s="169" t="n"/>
      <c r="O435" s="164" t="n"/>
      <c r="P435" s="164" t="n"/>
    </row>
    <row r="436">
      <c r="A436" s="164" t="n"/>
      <c r="B436" s="164" t="n"/>
      <c r="C436" s="164" t="n"/>
      <c r="D436" s="164" t="n"/>
      <c r="E436" s="166" t="n"/>
      <c r="F436" s="166" t="n"/>
      <c r="G436" s="166" t="n"/>
      <c r="H436" s="167">
        <f>E436+F436+G436</f>
        <v/>
      </c>
      <c r="I436" s="168" t="n"/>
      <c r="J436" s="167">
        <f>H436*(1+I436)</f>
        <v/>
      </c>
      <c r="K436" s="169" t="n"/>
      <c r="L436" s="170">
        <f>SUMIFS('HISTORIQUE DOCS'!$H$4:$H$1000,'HISTORIQUE DOCS'!$F$4:$F$1000,A436,'HISTORIQUE DOCS'!$C$4:$C$1000,"FACTURE",'HISTORIQUE DOCS'!$P$4:$P$1000,"VALIDÉ")</f>
        <v/>
      </c>
      <c r="M436" s="170">
        <f>K436-L436</f>
        <v/>
      </c>
      <c r="N436" s="169" t="n"/>
      <c r="O436" s="164" t="n"/>
      <c r="P436" s="164" t="n"/>
    </row>
    <row r="437">
      <c r="A437" s="164" t="n"/>
      <c r="B437" s="164" t="n"/>
      <c r="C437" s="164" t="n"/>
      <c r="D437" s="164" t="n"/>
      <c r="E437" s="166" t="n"/>
      <c r="F437" s="166" t="n"/>
      <c r="G437" s="166" t="n"/>
      <c r="H437" s="167">
        <f>E437+F437+G437</f>
        <v/>
      </c>
      <c r="I437" s="168" t="n"/>
      <c r="J437" s="167">
        <f>H437*(1+I437)</f>
        <v/>
      </c>
      <c r="K437" s="169" t="n"/>
      <c r="L437" s="170">
        <f>SUMIFS('HISTORIQUE DOCS'!$H$4:$H$1000,'HISTORIQUE DOCS'!$F$4:$F$1000,A437,'HISTORIQUE DOCS'!$C$4:$C$1000,"FACTURE",'HISTORIQUE DOCS'!$P$4:$P$1000,"VALIDÉ")</f>
        <v/>
      </c>
      <c r="M437" s="170">
        <f>K437-L437</f>
        <v/>
      </c>
      <c r="N437" s="169" t="n"/>
      <c r="O437" s="164" t="n"/>
      <c r="P437" s="164" t="n"/>
    </row>
    <row r="438">
      <c r="A438" s="164" t="n"/>
      <c r="B438" s="164" t="n"/>
      <c r="C438" s="164" t="n"/>
      <c r="D438" s="164" t="n"/>
      <c r="E438" s="166" t="n"/>
      <c r="F438" s="166" t="n"/>
      <c r="G438" s="166" t="n"/>
      <c r="H438" s="167">
        <f>E438+F438+G438</f>
        <v/>
      </c>
      <c r="I438" s="168" t="n"/>
      <c r="J438" s="167">
        <f>H438*(1+I438)</f>
        <v/>
      </c>
      <c r="K438" s="169" t="n"/>
      <c r="L438" s="170">
        <f>SUMIFS('HISTORIQUE DOCS'!$H$4:$H$1000,'HISTORIQUE DOCS'!$F$4:$F$1000,A438,'HISTORIQUE DOCS'!$C$4:$C$1000,"FACTURE",'HISTORIQUE DOCS'!$P$4:$P$1000,"VALIDÉ")</f>
        <v/>
      </c>
      <c r="M438" s="170">
        <f>K438-L438</f>
        <v/>
      </c>
      <c r="N438" s="169" t="n"/>
      <c r="O438" s="164" t="n"/>
      <c r="P438" s="164" t="n"/>
    </row>
    <row r="439">
      <c r="A439" s="164" t="n"/>
      <c r="B439" s="164" t="n"/>
      <c r="C439" s="164" t="n"/>
      <c r="D439" s="164" t="n"/>
      <c r="E439" s="166" t="n"/>
      <c r="F439" s="166" t="n"/>
      <c r="G439" s="166" t="n"/>
      <c r="H439" s="167">
        <f>E439+F439+G439</f>
        <v/>
      </c>
      <c r="I439" s="168" t="n"/>
      <c r="J439" s="167">
        <f>H439*(1+I439)</f>
        <v/>
      </c>
      <c r="K439" s="169" t="n"/>
      <c r="L439" s="170">
        <f>SUMIFS('HISTORIQUE DOCS'!$H$4:$H$1000,'HISTORIQUE DOCS'!$F$4:$F$1000,A439,'HISTORIQUE DOCS'!$C$4:$C$1000,"FACTURE",'HISTORIQUE DOCS'!$P$4:$P$1000,"VALIDÉ")</f>
        <v/>
      </c>
      <c r="M439" s="170">
        <f>K439-L439</f>
        <v/>
      </c>
      <c r="N439" s="169" t="n"/>
      <c r="O439" s="164" t="n"/>
      <c r="P439" s="164" t="n"/>
    </row>
    <row r="440">
      <c r="A440" s="164" t="n"/>
      <c r="B440" s="164" t="n"/>
      <c r="C440" s="164" t="n"/>
      <c r="D440" s="164" t="n"/>
      <c r="E440" s="166" t="n"/>
      <c r="F440" s="166" t="n"/>
      <c r="G440" s="166" t="n"/>
      <c r="H440" s="167">
        <f>E440+F440+G440</f>
        <v/>
      </c>
      <c r="I440" s="168" t="n"/>
      <c r="J440" s="167">
        <f>H440*(1+I440)</f>
        <v/>
      </c>
      <c r="K440" s="169" t="n"/>
      <c r="L440" s="170">
        <f>SUMIFS('HISTORIQUE DOCS'!$H$4:$H$1000,'HISTORIQUE DOCS'!$F$4:$F$1000,A440,'HISTORIQUE DOCS'!$C$4:$C$1000,"FACTURE",'HISTORIQUE DOCS'!$P$4:$P$1000,"VALIDÉ")</f>
        <v/>
      </c>
      <c r="M440" s="170">
        <f>K440-L440</f>
        <v/>
      </c>
      <c r="N440" s="169" t="n"/>
      <c r="O440" s="164" t="n"/>
      <c r="P440" s="164" t="n"/>
    </row>
    <row r="441">
      <c r="A441" s="164" t="n"/>
      <c r="B441" s="164" t="n"/>
      <c r="C441" s="164" t="n"/>
      <c r="D441" s="164" t="n"/>
      <c r="E441" s="166" t="n"/>
      <c r="F441" s="166" t="n"/>
      <c r="G441" s="166" t="n"/>
      <c r="H441" s="167">
        <f>E441+F441+G441</f>
        <v/>
      </c>
      <c r="I441" s="168" t="n"/>
      <c r="J441" s="167">
        <f>H441*(1+I441)</f>
        <v/>
      </c>
      <c r="K441" s="169" t="n"/>
      <c r="L441" s="170">
        <f>SUMIFS('HISTORIQUE DOCS'!$H$4:$H$1000,'HISTORIQUE DOCS'!$F$4:$F$1000,A441,'HISTORIQUE DOCS'!$C$4:$C$1000,"FACTURE",'HISTORIQUE DOCS'!$P$4:$P$1000,"VALIDÉ")</f>
        <v/>
      </c>
      <c r="M441" s="170">
        <f>K441-L441</f>
        <v/>
      </c>
      <c r="N441" s="169" t="n"/>
      <c r="O441" s="164" t="n"/>
      <c r="P441" s="164" t="n"/>
    </row>
    <row r="442">
      <c r="A442" s="164" t="n"/>
      <c r="B442" s="164" t="n"/>
      <c r="C442" s="164" t="n"/>
      <c r="D442" s="164" t="n"/>
      <c r="E442" s="166" t="n"/>
      <c r="F442" s="166" t="n"/>
      <c r="G442" s="166" t="n"/>
      <c r="H442" s="167">
        <f>E442+F442+G442</f>
        <v/>
      </c>
      <c r="I442" s="168" t="n"/>
      <c r="J442" s="167">
        <f>H442*(1+I442)</f>
        <v/>
      </c>
      <c r="K442" s="169" t="n"/>
      <c r="L442" s="170">
        <f>SUMIFS('HISTORIQUE DOCS'!$H$4:$H$1000,'HISTORIQUE DOCS'!$F$4:$F$1000,A442,'HISTORIQUE DOCS'!$C$4:$C$1000,"FACTURE",'HISTORIQUE DOCS'!$P$4:$P$1000,"VALIDÉ")</f>
        <v/>
      </c>
      <c r="M442" s="170">
        <f>K442-L442</f>
        <v/>
      </c>
      <c r="N442" s="169" t="n"/>
      <c r="O442" s="164" t="n"/>
      <c r="P442" s="164" t="n"/>
    </row>
    <row r="443">
      <c r="A443" s="164" t="n"/>
      <c r="B443" s="164" t="n"/>
      <c r="C443" s="164" t="n"/>
      <c r="D443" s="164" t="n"/>
      <c r="E443" s="166" t="n"/>
      <c r="F443" s="166" t="n"/>
      <c r="G443" s="166" t="n"/>
      <c r="H443" s="167">
        <f>E443+F443+G443</f>
        <v/>
      </c>
      <c r="I443" s="168" t="n"/>
      <c r="J443" s="167">
        <f>H443*(1+I443)</f>
        <v/>
      </c>
      <c r="K443" s="169" t="n"/>
      <c r="L443" s="170">
        <f>SUMIFS('HISTORIQUE DOCS'!$H$4:$H$1000,'HISTORIQUE DOCS'!$F$4:$F$1000,A443,'HISTORIQUE DOCS'!$C$4:$C$1000,"FACTURE",'HISTORIQUE DOCS'!$P$4:$P$1000,"VALIDÉ")</f>
        <v/>
      </c>
      <c r="M443" s="170">
        <f>K443-L443</f>
        <v/>
      </c>
      <c r="N443" s="169" t="n"/>
      <c r="O443" s="164" t="n"/>
      <c r="P443" s="164" t="n"/>
    </row>
    <row r="444">
      <c r="A444" s="164" t="n"/>
      <c r="B444" s="164" t="n"/>
      <c r="C444" s="164" t="n"/>
      <c r="D444" s="164" t="n"/>
      <c r="E444" s="166" t="n"/>
      <c r="F444" s="166" t="n"/>
      <c r="G444" s="166" t="n"/>
      <c r="H444" s="167">
        <f>E444+F444+G444</f>
        <v/>
      </c>
      <c r="I444" s="168" t="n"/>
      <c r="J444" s="167">
        <f>H444*(1+I444)</f>
        <v/>
      </c>
      <c r="K444" s="169" t="n"/>
      <c r="L444" s="170">
        <f>SUMIFS('HISTORIQUE DOCS'!$H$4:$H$1000,'HISTORIQUE DOCS'!$F$4:$F$1000,A444,'HISTORIQUE DOCS'!$C$4:$C$1000,"FACTURE",'HISTORIQUE DOCS'!$P$4:$P$1000,"VALIDÉ")</f>
        <v/>
      </c>
      <c r="M444" s="170">
        <f>K444-L444</f>
        <v/>
      </c>
      <c r="N444" s="169" t="n"/>
      <c r="O444" s="164" t="n"/>
      <c r="P444" s="164" t="n"/>
    </row>
    <row r="445">
      <c r="A445" s="164" t="n"/>
      <c r="B445" s="164" t="n"/>
      <c r="C445" s="164" t="n"/>
      <c r="D445" s="164" t="n"/>
      <c r="E445" s="166" t="n"/>
      <c r="F445" s="166" t="n"/>
      <c r="G445" s="166" t="n"/>
      <c r="H445" s="167">
        <f>E445+F445+G445</f>
        <v/>
      </c>
      <c r="I445" s="168" t="n"/>
      <c r="J445" s="167">
        <f>H445*(1+I445)</f>
        <v/>
      </c>
      <c r="K445" s="169" t="n"/>
      <c r="L445" s="170">
        <f>SUMIFS('HISTORIQUE DOCS'!$H$4:$H$1000,'HISTORIQUE DOCS'!$F$4:$F$1000,A445,'HISTORIQUE DOCS'!$C$4:$C$1000,"FACTURE",'HISTORIQUE DOCS'!$P$4:$P$1000,"VALIDÉ")</f>
        <v/>
      </c>
      <c r="M445" s="170">
        <f>K445-L445</f>
        <v/>
      </c>
      <c r="N445" s="169" t="n"/>
      <c r="O445" s="164" t="n"/>
      <c r="P445" s="164" t="n"/>
    </row>
    <row r="446">
      <c r="A446" s="164" t="n"/>
      <c r="B446" s="164" t="n"/>
      <c r="C446" s="164" t="n"/>
      <c r="D446" s="164" t="n"/>
      <c r="E446" s="166" t="n"/>
      <c r="F446" s="166" t="n"/>
      <c r="G446" s="166" t="n"/>
      <c r="H446" s="167">
        <f>E446+F446+G446</f>
        <v/>
      </c>
      <c r="I446" s="168" t="n"/>
      <c r="J446" s="167">
        <f>H446*(1+I446)</f>
        <v/>
      </c>
      <c r="K446" s="169" t="n"/>
      <c r="L446" s="170">
        <f>SUMIFS('HISTORIQUE DOCS'!$H$4:$H$1000,'HISTORIQUE DOCS'!$F$4:$F$1000,A446,'HISTORIQUE DOCS'!$C$4:$C$1000,"FACTURE",'HISTORIQUE DOCS'!$P$4:$P$1000,"VALIDÉ")</f>
        <v/>
      </c>
      <c r="M446" s="170">
        <f>K446-L446</f>
        <v/>
      </c>
      <c r="N446" s="169" t="n"/>
      <c r="O446" s="164" t="n"/>
      <c r="P446" s="164" t="n"/>
    </row>
    <row r="447">
      <c r="A447" s="164" t="n"/>
      <c r="B447" s="164" t="n"/>
      <c r="C447" s="164" t="n"/>
      <c r="D447" s="164" t="n"/>
      <c r="E447" s="166" t="n"/>
      <c r="F447" s="166" t="n"/>
      <c r="G447" s="166" t="n"/>
      <c r="H447" s="167">
        <f>E447+F447+G447</f>
        <v/>
      </c>
      <c r="I447" s="168" t="n"/>
      <c r="J447" s="167">
        <f>H447*(1+I447)</f>
        <v/>
      </c>
      <c r="K447" s="169" t="n"/>
      <c r="L447" s="170">
        <f>SUMIFS('HISTORIQUE DOCS'!$H$4:$H$1000,'HISTORIQUE DOCS'!$F$4:$F$1000,A447,'HISTORIQUE DOCS'!$C$4:$C$1000,"FACTURE",'HISTORIQUE DOCS'!$P$4:$P$1000,"VALIDÉ")</f>
        <v/>
      </c>
      <c r="M447" s="170">
        <f>K447-L447</f>
        <v/>
      </c>
      <c r="N447" s="169" t="n"/>
      <c r="O447" s="164" t="n"/>
      <c r="P447" s="164" t="n"/>
    </row>
    <row r="448">
      <c r="A448" s="164" t="n"/>
      <c r="B448" s="164" t="n"/>
      <c r="C448" s="164" t="n"/>
      <c r="D448" s="164" t="n"/>
      <c r="E448" s="166" t="n"/>
      <c r="F448" s="166" t="n"/>
      <c r="G448" s="166" t="n"/>
      <c r="H448" s="167">
        <f>E448+F448+G448</f>
        <v/>
      </c>
      <c r="I448" s="168" t="n"/>
      <c r="J448" s="167">
        <f>H448*(1+I448)</f>
        <v/>
      </c>
      <c r="K448" s="169" t="n"/>
      <c r="L448" s="170">
        <f>SUMIFS('HISTORIQUE DOCS'!$H$4:$H$1000,'HISTORIQUE DOCS'!$F$4:$F$1000,A448,'HISTORIQUE DOCS'!$C$4:$C$1000,"FACTURE",'HISTORIQUE DOCS'!$P$4:$P$1000,"VALIDÉ")</f>
        <v/>
      </c>
      <c r="M448" s="170">
        <f>K448-L448</f>
        <v/>
      </c>
      <c r="N448" s="169" t="n"/>
      <c r="O448" s="164" t="n"/>
      <c r="P448" s="164" t="n"/>
    </row>
    <row r="449">
      <c r="A449" s="164" t="n"/>
      <c r="B449" s="164" t="n"/>
      <c r="C449" s="164" t="n"/>
      <c r="D449" s="164" t="n"/>
      <c r="E449" s="166" t="n"/>
      <c r="F449" s="166" t="n"/>
      <c r="G449" s="166" t="n"/>
      <c r="H449" s="167">
        <f>E449+F449+G449</f>
        <v/>
      </c>
      <c r="I449" s="168" t="n"/>
      <c r="J449" s="167">
        <f>H449*(1+I449)</f>
        <v/>
      </c>
      <c r="K449" s="169" t="n"/>
      <c r="L449" s="170">
        <f>SUMIFS('HISTORIQUE DOCS'!$H$4:$H$1000,'HISTORIQUE DOCS'!$F$4:$F$1000,A449,'HISTORIQUE DOCS'!$C$4:$C$1000,"FACTURE",'HISTORIQUE DOCS'!$P$4:$P$1000,"VALIDÉ")</f>
        <v/>
      </c>
      <c r="M449" s="170">
        <f>K449-L449</f>
        <v/>
      </c>
      <c r="N449" s="169" t="n"/>
      <c r="O449" s="164" t="n"/>
      <c r="P449" s="164" t="n"/>
    </row>
    <row r="450">
      <c r="A450" s="164" t="n"/>
      <c r="B450" s="164" t="n"/>
      <c r="C450" s="164" t="n"/>
      <c r="D450" s="164" t="n"/>
      <c r="E450" s="166" t="n"/>
      <c r="F450" s="166" t="n"/>
      <c r="G450" s="166" t="n"/>
      <c r="H450" s="167">
        <f>E450+F450+G450</f>
        <v/>
      </c>
      <c r="I450" s="168" t="n"/>
      <c r="J450" s="167">
        <f>H450*(1+I450)</f>
        <v/>
      </c>
      <c r="K450" s="169" t="n"/>
      <c r="L450" s="170">
        <f>SUMIFS('HISTORIQUE DOCS'!$H$4:$H$1000,'HISTORIQUE DOCS'!$F$4:$F$1000,A450,'HISTORIQUE DOCS'!$C$4:$C$1000,"FACTURE",'HISTORIQUE DOCS'!$P$4:$P$1000,"VALIDÉ")</f>
        <v/>
      </c>
      <c r="M450" s="170">
        <f>K450-L450</f>
        <v/>
      </c>
      <c r="N450" s="169" t="n"/>
      <c r="O450" s="164" t="n"/>
      <c r="P450" s="164" t="n"/>
    </row>
    <row r="451">
      <c r="A451" s="164" t="n"/>
      <c r="B451" s="164" t="n"/>
      <c r="C451" s="164" t="n"/>
      <c r="D451" s="164" t="n"/>
      <c r="E451" s="166" t="n"/>
      <c r="F451" s="166" t="n"/>
      <c r="G451" s="166" t="n"/>
      <c r="H451" s="167">
        <f>E451+F451+G451</f>
        <v/>
      </c>
      <c r="I451" s="168" t="n"/>
      <c r="J451" s="167">
        <f>H451*(1+I451)</f>
        <v/>
      </c>
      <c r="K451" s="169" t="n"/>
      <c r="L451" s="170">
        <f>SUMIFS('HISTORIQUE DOCS'!$H$4:$H$1000,'HISTORIQUE DOCS'!$F$4:$F$1000,A451,'HISTORIQUE DOCS'!$C$4:$C$1000,"FACTURE",'HISTORIQUE DOCS'!$P$4:$P$1000,"VALIDÉ")</f>
        <v/>
      </c>
      <c r="M451" s="170">
        <f>K451-L451</f>
        <v/>
      </c>
      <c r="N451" s="169" t="n"/>
      <c r="O451" s="164" t="n"/>
      <c r="P451" s="164" t="n"/>
    </row>
    <row r="452">
      <c r="A452" s="164" t="n"/>
      <c r="B452" s="164" t="n"/>
      <c r="C452" s="164" t="n"/>
      <c r="D452" s="164" t="n"/>
      <c r="E452" s="166" t="n"/>
      <c r="F452" s="166" t="n"/>
      <c r="G452" s="166" t="n"/>
      <c r="H452" s="167">
        <f>E452+F452+G452</f>
        <v/>
      </c>
      <c r="I452" s="168" t="n"/>
      <c r="J452" s="167">
        <f>H452*(1+I452)</f>
        <v/>
      </c>
      <c r="K452" s="169" t="n"/>
      <c r="L452" s="170">
        <f>SUMIFS('HISTORIQUE DOCS'!$H$4:$H$1000,'HISTORIQUE DOCS'!$F$4:$F$1000,A452,'HISTORIQUE DOCS'!$C$4:$C$1000,"FACTURE",'HISTORIQUE DOCS'!$P$4:$P$1000,"VALIDÉ")</f>
        <v/>
      </c>
      <c r="M452" s="170">
        <f>K452-L452</f>
        <v/>
      </c>
      <c r="N452" s="169" t="n"/>
      <c r="O452" s="164" t="n"/>
      <c r="P452" s="164" t="n"/>
    </row>
    <row r="453">
      <c r="A453" s="164" t="n"/>
      <c r="B453" s="164" t="n"/>
      <c r="C453" s="164" t="n"/>
      <c r="D453" s="164" t="n"/>
      <c r="E453" s="166" t="n"/>
      <c r="F453" s="166" t="n"/>
      <c r="G453" s="166" t="n"/>
      <c r="H453" s="167">
        <f>E453+F453+G453</f>
        <v/>
      </c>
      <c r="I453" s="168" t="n"/>
      <c r="J453" s="167">
        <f>H453*(1+I453)</f>
        <v/>
      </c>
      <c r="K453" s="169" t="n"/>
      <c r="L453" s="170">
        <f>SUMIFS('HISTORIQUE DOCS'!$H$4:$H$1000,'HISTORIQUE DOCS'!$F$4:$F$1000,A453,'HISTORIQUE DOCS'!$C$4:$C$1000,"FACTURE",'HISTORIQUE DOCS'!$P$4:$P$1000,"VALIDÉ")</f>
        <v/>
      </c>
      <c r="M453" s="170">
        <f>K453-L453</f>
        <v/>
      </c>
      <c r="N453" s="169" t="n"/>
      <c r="O453" s="164" t="n"/>
      <c r="P453" s="164" t="n"/>
    </row>
    <row r="454">
      <c r="A454" s="164" t="n"/>
      <c r="B454" s="164" t="n"/>
      <c r="C454" s="164" t="n"/>
      <c r="D454" s="164" t="n"/>
      <c r="E454" s="166" t="n"/>
      <c r="F454" s="166" t="n"/>
      <c r="G454" s="166" t="n"/>
      <c r="H454" s="167">
        <f>E454+F454+G454</f>
        <v/>
      </c>
      <c r="I454" s="168" t="n"/>
      <c r="J454" s="167">
        <f>H454*(1+I454)</f>
        <v/>
      </c>
      <c r="K454" s="169" t="n"/>
      <c r="L454" s="170">
        <f>SUMIFS('HISTORIQUE DOCS'!$H$4:$H$1000,'HISTORIQUE DOCS'!$F$4:$F$1000,A454,'HISTORIQUE DOCS'!$C$4:$C$1000,"FACTURE",'HISTORIQUE DOCS'!$P$4:$P$1000,"VALIDÉ")</f>
        <v/>
      </c>
      <c r="M454" s="170">
        <f>K454-L454</f>
        <v/>
      </c>
      <c r="N454" s="169" t="n"/>
      <c r="O454" s="164" t="n"/>
      <c r="P454" s="164" t="n"/>
    </row>
    <row r="455">
      <c r="A455" s="164" t="n"/>
      <c r="B455" s="164" t="n"/>
      <c r="C455" s="164" t="n"/>
      <c r="D455" s="164" t="n"/>
      <c r="E455" s="166" t="n"/>
      <c r="F455" s="166" t="n"/>
      <c r="G455" s="166" t="n"/>
      <c r="H455" s="167">
        <f>E455+F455+G455</f>
        <v/>
      </c>
      <c r="I455" s="168" t="n"/>
      <c r="J455" s="167">
        <f>H455*(1+I455)</f>
        <v/>
      </c>
      <c r="K455" s="169" t="n"/>
      <c r="L455" s="170">
        <f>SUMIFS('HISTORIQUE DOCS'!$H$4:$H$1000,'HISTORIQUE DOCS'!$F$4:$F$1000,A455,'HISTORIQUE DOCS'!$C$4:$C$1000,"FACTURE",'HISTORIQUE DOCS'!$P$4:$P$1000,"VALIDÉ")</f>
        <v/>
      </c>
      <c r="M455" s="170">
        <f>K455-L455</f>
        <v/>
      </c>
      <c r="N455" s="169" t="n"/>
      <c r="O455" s="164" t="n"/>
      <c r="P455" s="164" t="n"/>
    </row>
    <row r="456">
      <c r="A456" s="164" t="n"/>
      <c r="B456" s="164" t="n"/>
      <c r="C456" s="164" t="n"/>
      <c r="D456" s="164" t="n"/>
      <c r="E456" s="166" t="n"/>
      <c r="F456" s="166" t="n"/>
      <c r="G456" s="166" t="n"/>
      <c r="H456" s="167">
        <f>E456+F456+G456</f>
        <v/>
      </c>
      <c r="I456" s="168" t="n"/>
      <c r="J456" s="167">
        <f>H456*(1+I456)</f>
        <v/>
      </c>
      <c r="K456" s="169" t="n"/>
      <c r="L456" s="170">
        <f>SUMIFS('HISTORIQUE DOCS'!$H$4:$H$1000,'HISTORIQUE DOCS'!$F$4:$F$1000,A456,'HISTORIQUE DOCS'!$C$4:$C$1000,"FACTURE",'HISTORIQUE DOCS'!$P$4:$P$1000,"VALIDÉ")</f>
        <v/>
      </c>
      <c r="M456" s="170">
        <f>K456-L456</f>
        <v/>
      </c>
      <c r="N456" s="169" t="n"/>
      <c r="O456" s="164" t="n"/>
      <c r="P456" s="164" t="n"/>
    </row>
    <row r="457">
      <c r="A457" s="164" t="n"/>
      <c r="B457" s="164" t="n"/>
      <c r="C457" s="164" t="n"/>
      <c r="D457" s="164" t="n"/>
      <c r="E457" s="166" t="n"/>
      <c r="F457" s="166" t="n"/>
      <c r="G457" s="166" t="n"/>
      <c r="H457" s="167">
        <f>E457+F457+G457</f>
        <v/>
      </c>
      <c r="I457" s="168" t="n"/>
      <c r="J457" s="167">
        <f>H457*(1+I457)</f>
        <v/>
      </c>
      <c r="K457" s="169" t="n"/>
      <c r="L457" s="170">
        <f>SUMIFS('HISTORIQUE DOCS'!$H$4:$H$1000,'HISTORIQUE DOCS'!$F$4:$F$1000,A457,'HISTORIQUE DOCS'!$C$4:$C$1000,"FACTURE",'HISTORIQUE DOCS'!$P$4:$P$1000,"VALIDÉ")</f>
        <v/>
      </c>
      <c r="M457" s="170">
        <f>K457-L457</f>
        <v/>
      </c>
      <c r="N457" s="169" t="n"/>
      <c r="O457" s="164" t="n"/>
      <c r="P457" s="164" t="n"/>
    </row>
    <row r="458">
      <c r="A458" s="164" t="n"/>
      <c r="B458" s="164" t="n"/>
      <c r="C458" s="164" t="n"/>
      <c r="D458" s="164" t="n"/>
      <c r="E458" s="166" t="n"/>
      <c r="F458" s="166" t="n"/>
      <c r="G458" s="166" t="n"/>
      <c r="H458" s="167">
        <f>E458+F458+G458</f>
        <v/>
      </c>
      <c r="I458" s="168" t="n"/>
      <c r="J458" s="167">
        <f>H458*(1+I458)</f>
        <v/>
      </c>
      <c r="K458" s="169" t="n"/>
      <c r="L458" s="170">
        <f>SUMIFS('HISTORIQUE DOCS'!$H$4:$H$1000,'HISTORIQUE DOCS'!$F$4:$F$1000,A458,'HISTORIQUE DOCS'!$C$4:$C$1000,"FACTURE",'HISTORIQUE DOCS'!$P$4:$P$1000,"VALIDÉ")</f>
        <v/>
      </c>
      <c r="M458" s="170">
        <f>K458-L458</f>
        <v/>
      </c>
      <c r="N458" s="169" t="n"/>
      <c r="O458" s="164" t="n"/>
      <c r="P458" s="164" t="n"/>
    </row>
    <row r="459">
      <c r="A459" s="164" t="n"/>
      <c r="B459" s="164" t="n"/>
      <c r="C459" s="164" t="n"/>
      <c r="D459" s="164" t="n"/>
      <c r="E459" s="166" t="n"/>
      <c r="F459" s="166" t="n"/>
      <c r="G459" s="166" t="n"/>
      <c r="H459" s="167">
        <f>E459+F459+G459</f>
        <v/>
      </c>
      <c r="I459" s="168" t="n"/>
      <c r="J459" s="167">
        <f>H459*(1+I459)</f>
        <v/>
      </c>
      <c r="K459" s="169" t="n"/>
      <c r="L459" s="170">
        <f>SUMIFS('HISTORIQUE DOCS'!$H$4:$H$1000,'HISTORIQUE DOCS'!$F$4:$F$1000,A459,'HISTORIQUE DOCS'!$C$4:$C$1000,"FACTURE",'HISTORIQUE DOCS'!$P$4:$P$1000,"VALIDÉ")</f>
        <v/>
      </c>
      <c r="M459" s="170">
        <f>K459-L459</f>
        <v/>
      </c>
      <c r="N459" s="169" t="n"/>
      <c r="O459" s="164" t="n"/>
      <c r="P459" s="164" t="n"/>
    </row>
    <row r="460">
      <c r="A460" s="164" t="n"/>
      <c r="B460" s="164" t="n"/>
      <c r="C460" s="164" t="n"/>
      <c r="D460" s="164" t="n"/>
      <c r="E460" s="166" t="n"/>
      <c r="F460" s="166" t="n"/>
      <c r="G460" s="166" t="n"/>
      <c r="H460" s="167">
        <f>E460+F460+G460</f>
        <v/>
      </c>
      <c r="I460" s="168" t="n"/>
      <c r="J460" s="167">
        <f>H460*(1+I460)</f>
        <v/>
      </c>
      <c r="K460" s="169" t="n"/>
      <c r="L460" s="170">
        <f>SUMIFS('HISTORIQUE DOCS'!$H$4:$H$1000,'HISTORIQUE DOCS'!$F$4:$F$1000,A460,'HISTORIQUE DOCS'!$C$4:$C$1000,"FACTURE",'HISTORIQUE DOCS'!$P$4:$P$1000,"VALIDÉ")</f>
        <v/>
      </c>
      <c r="M460" s="170">
        <f>K460-L460</f>
        <v/>
      </c>
      <c r="N460" s="169" t="n"/>
      <c r="O460" s="164" t="n"/>
      <c r="P460" s="164" t="n"/>
    </row>
    <row r="461">
      <c r="A461" s="164" t="n"/>
      <c r="B461" s="164" t="n"/>
      <c r="C461" s="164" t="n"/>
      <c r="D461" s="164" t="n"/>
      <c r="E461" s="166" t="n"/>
      <c r="F461" s="166" t="n"/>
      <c r="G461" s="166" t="n"/>
      <c r="H461" s="167">
        <f>E461+F461+G461</f>
        <v/>
      </c>
      <c r="I461" s="168" t="n"/>
      <c r="J461" s="167">
        <f>H461*(1+I461)</f>
        <v/>
      </c>
      <c r="K461" s="169" t="n"/>
      <c r="L461" s="170">
        <f>SUMIFS('HISTORIQUE DOCS'!$H$4:$H$1000,'HISTORIQUE DOCS'!$F$4:$F$1000,A461,'HISTORIQUE DOCS'!$C$4:$C$1000,"FACTURE",'HISTORIQUE DOCS'!$P$4:$P$1000,"VALIDÉ")</f>
        <v/>
      </c>
      <c r="M461" s="170">
        <f>K461-L461</f>
        <v/>
      </c>
      <c r="N461" s="169" t="n"/>
      <c r="O461" s="164" t="n"/>
      <c r="P461" s="164" t="n"/>
    </row>
    <row r="462">
      <c r="A462" s="164" t="n"/>
      <c r="B462" s="164" t="n"/>
      <c r="C462" s="164" t="n"/>
      <c r="D462" s="164" t="n"/>
      <c r="E462" s="166" t="n"/>
      <c r="F462" s="166" t="n"/>
      <c r="G462" s="166" t="n"/>
      <c r="H462" s="167">
        <f>E462+F462+G462</f>
        <v/>
      </c>
      <c r="I462" s="168" t="n"/>
      <c r="J462" s="167">
        <f>H462*(1+I462)</f>
        <v/>
      </c>
      <c r="K462" s="169" t="n"/>
      <c r="L462" s="170">
        <f>SUMIFS('HISTORIQUE DOCS'!$H$4:$H$1000,'HISTORIQUE DOCS'!$F$4:$F$1000,A462,'HISTORIQUE DOCS'!$C$4:$C$1000,"FACTURE",'HISTORIQUE DOCS'!$P$4:$P$1000,"VALIDÉ")</f>
        <v/>
      </c>
      <c r="M462" s="170">
        <f>K462-L462</f>
        <v/>
      </c>
      <c r="N462" s="169" t="n"/>
      <c r="O462" s="164" t="n"/>
      <c r="P462" s="164" t="n"/>
    </row>
    <row r="463">
      <c r="A463" s="164" t="n"/>
      <c r="B463" s="164" t="n"/>
      <c r="C463" s="164" t="n"/>
      <c r="D463" s="164" t="n"/>
      <c r="E463" s="166" t="n"/>
      <c r="F463" s="166" t="n"/>
      <c r="G463" s="166" t="n"/>
      <c r="H463" s="167">
        <f>E463+F463+G463</f>
        <v/>
      </c>
      <c r="I463" s="168" t="n"/>
      <c r="J463" s="167">
        <f>H463*(1+I463)</f>
        <v/>
      </c>
      <c r="K463" s="169" t="n"/>
      <c r="L463" s="170">
        <f>SUMIFS('HISTORIQUE DOCS'!$H$4:$H$1000,'HISTORIQUE DOCS'!$F$4:$F$1000,A463,'HISTORIQUE DOCS'!$C$4:$C$1000,"FACTURE",'HISTORIQUE DOCS'!$P$4:$P$1000,"VALIDÉ")</f>
        <v/>
      </c>
      <c r="M463" s="170">
        <f>K463-L463</f>
        <v/>
      </c>
      <c r="N463" s="169" t="n"/>
      <c r="O463" s="164" t="n"/>
      <c r="P463" s="164" t="n"/>
    </row>
    <row r="464">
      <c r="A464" s="164" t="n"/>
      <c r="B464" s="164" t="n"/>
      <c r="C464" s="164" t="n"/>
      <c r="D464" s="164" t="n"/>
      <c r="E464" s="166" t="n"/>
      <c r="F464" s="166" t="n"/>
      <c r="G464" s="166" t="n"/>
      <c r="H464" s="167">
        <f>E464+F464+G464</f>
        <v/>
      </c>
      <c r="I464" s="168" t="n"/>
      <c r="J464" s="167">
        <f>H464*(1+I464)</f>
        <v/>
      </c>
      <c r="K464" s="169" t="n"/>
      <c r="L464" s="170">
        <f>SUMIFS('HISTORIQUE DOCS'!$H$4:$H$1000,'HISTORIQUE DOCS'!$F$4:$F$1000,A464,'HISTORIQUE DOCS'!$C$4:$C$1000,"FACTURE",'HISTORIQUE DOCS'!$P$4:$P$1000,"VALIDÉ")</f>
        <v/>
      </c>
      <c r="M464" s="170">
        <f>K464-L464</f>
        <v/>
      </c>
      <c r="N464" s="169" t="n"/>
      <c r="O464" s="164" t="n"/>
      <c r="P464" s="164" t="n"/>
    </row>
    <row r="465">
      <c r="A465" s="164" t="n"/>
      <c r="B465" s="164" t="n"/>
      <c r="C465" s="164" t="n"/>
      <c r="D465" s="164" t="n"/>
      <c r="E465" s="166" t="n"/>
      <c r="F465" s="166" t="n"/>
      <c r="G465" s="166" t="n"/>
      <c r="H465" s="167">
        <f>E465+F465+G465</f>
        <v/>
      </c>
      <c r="I465" s="168" t="n"/>
      <c r="J465" s="167">
        <f>H465*(1+I465)</f>
        <v/>
      </c>
      <c r="K465" s="169" t="n"/>
      <c r="L465" s="170">
        <f>SUMIFS('HISTORIQUE DOCS'!$H$4:$H$1000,'HISTORIQUE DOCS'!$F$4:$F$1000,A465,'HISTORIQUE DOCS'!$C$4:$C$1000,"FACTURE",'HISTORIQUE DOCS'!$P$4:$P$1000,"VALIDÉ")</f>
        <v/>
      </c>
      <c r="M465" s="170">
        <f>K465-L465</f>
        <v/>
      </c>
      <c r="N465" s="169" t="n"/>
      <c r="O465" s="164" t="n"/>
      <c r="P465" s="164" t="n"/>
    </row>
    <row r="466">
      <c r="A466" s="164" t="n"/>
      <c r="B466" s="164" t="n"/>
      <c r="C466" s="164" t="n"/>
      <c r="D466" s="164" t="n"/>
      <c r="E466" s="166" t="n"/>
      <c r="F466" s="166" t="n"/>
      <c r="G466" s="166" t="n"/>
      <c r="H466" s="167">
        <f>E466+F466+G466</f>
        <v/>
      </c>
      <c r="I466" s="168" t="n"/>
      <c r="J466" s="167">
        <f>H466*(1+I466)</f>
        <v/>
      </c>
      <c r="K466" s="169" t="n"/>
      <c r="L466" s="170">
        <f>SUMIFS('HISTORIQUE DOCS'!$H$4:$H$1000,'HISTORIQUE DOCS'!$F$4:$F$1000,A466,'HISTORIQUE DOCS'!$C$4:$C$1000,"FACTURE",'HISTORIQUE DOCS'!$P$4:$P$1000,"VALIDÉ")</f>
        <v/>
      </c>
      <c r="M466" s="170">
        <f>K466-L466</f>
        <v/>
      </c>
      <c r="N466" s="169" t="n"/>
      <c r="O466" s="164" t="n"/>
      <c r="P466" s="164" t="n"/>
    </row>
    <row r="467">
      <c r="A467" s="164" t="n"/>
      <c r="B467" s="164" t="n"/>
      <c r="C467" s="164" t="n"/>
      <c r="D467" s="164" t="n"/>
      <c r="E467" s="166" t="n"/>
      <c r="F467" s="166" t="n"/>
      <c r="G467" s="166" t="n"/>
      <c r="H467" s="167">
        <f>E467+F467+G467</f>
        <v/>
      </c>
      <c r="I467" s="168" t="n"/>
      <c r="J467" s="167">
        <f>H467*(1+I467)</f>
        <v/>
      </c>
      <c r="K467" s="169" t="n"/>
      <c r="L467" s="170">
        <f>SUMIFS('HISTORIQUE DOCS'!$H$4:$H$1000,'HISTORIQUE DOCS'!$F$4:$F$1000,A467,'HISTORIQUE DOCS'!$C$4:$C$1000,"FACTURE",'HISTORIQUE DOCS'!$P$4:$P$1000,"VALIDÉ")</f>
        <v/>
      </c>
      <c r="M467" s="170">
        <f>K467-L467</f>
        <v/>
      </c>
      <c r="N467" s="169" t="n"/>
      <c r="O467" s="164" t="n"/>
      <c r="P467" s="164" t="n"/>
    </row>
    <row r="468">
      <c r="A468" s="164" t="n"/>
      <c r="B468" s="164" t="n"/>
      <c r="C468" s="164" t="n"/>
      <c r="D468" s="164" t="n"/>
      <c r="E468" s="166" t="n"/>
      <c r="F468" s="166" t="n"/>
      <c r="G468" s="166" t="n"/>
      <c r="H468" s="167">
        <f>E468+F468+G468</f>
        <v/>
      </c>
      <c r="I468" s="168" t="n"/>
      <c r="J468" s="167">
        <f>H468*(1+I468)</f>
        <v/>
      </c>
      <c r="K468" s="169" t="n"/>
      <c r="L468" s="170">
        <f>SUMIFS('HISTORIQUE DOCS'!$H$4:$H$1000,'HISTORIQUE DOCS'!$F$4:$F$1000,A468,'HISTORIQUE DOCS'!$C$4:$C$1000,"FACTURE",'HISTORIQUE DOCS'!$P$4:$P$1000,"VALIDÉ")</f>
        <v/>
      </c>
      <c r="M468" s="170">
        <f>K468-L468</f>
        <v/>
      </c>
      <c r="N468" s="169" t="n"/>
      <c r="O468" s="164" t="n"/>
      <c r="P468" s="164" t="n"/>
    </row>
    <row r="469">
      <c r="A469" s="164" t="n"/>
      <c r="B469" s="164" t="n"/>
      <c r="C469" s="164" t="n"/>
      <c r="D469" s="164" t="n"/>
      <c r="E469" s="166" t="n"/>
      <c r="F469" s="166" t="n"/>
      <c r="G469" s="166" t="n"/>
      <c r="H469" s="167">
        <f>E469+F469+G469</f>
        <v/>
      </c>
      <c r="I469" s="168" t="n"/>
      <c r="J469" s="167">
        <f>H469*(1+I469)</f>
        <v/>
      </c>
      <c r="K469" s="169" t="n"/>
      <c r="L469" s="170">
        <f>SUMIFS('HISTORIQUE DOCS'!$H$4:$H$1000,'HISTORIQUE DOCS'!$F$4:$F$1000,A469,'HISTORIQUE DOCS'!$C$4:$C$1000,"FACTURE",'HISTORIQUE DOCS'!$P$4:$P$1000,"VALIDÉ")</f>
        <v/>
      </c>
      <c r="M469" s="170">
        <f>K469-L469</f>
        <v/>
      </c>
      <c r="N469" s="169" t="n"/>
      <c r="O469" s="164" t="n"/>
      <c r="P469" s="164" t="n"/>
    </row>
    <row r="470">
      <c r="A470" s="164" t="n"/>
      <c r="B470" s="164" t="n"/>
      <c r="C470" s="164" t="n"/>
      <c r="D470" s="164" t="n"/>
      <c r="E470" s="166" t="n"/>
      <c r="F470" s="166" t="n"/>
      <c r="G470" s="166" t="n"/>
      <c r="H470" s="167">
        <f>E470+F470+G470</f>
        <v/>
      </c>
      <c r="I470" s="168" t="n"/>
      <c r="J470" s="167">
        <f>H470*(1+I470)</f>
        <v/>
      </c>
      <c r="K470" s="169" t="n"/>
      <c r="L470" s="170">
        <f>SUMIFS('HISTORIQUE DOCS'!$H$4:$H$1000,'HISTORIQUE DOCS'!$F$4:$F$1000,A470,'HISTORIQUE DOCS'!$C$4:$C$1000,"FACTURE",'HISTORIQUE DOCS'!$P$4:$P$1000,"VALIDÉ")</f>
        <v/>
      </c>
      <c r="M470" s="170">
        <f>K470-L470</f>
        <v/>
      </c>
      <c r="N470" s="169" t="n"/>
      <c r="O470" s="164" t="n"/>
      <c r="P470" s="164" t="n"/>
    </row>
    <row r="471">
      <c r="A471" s="164" t="n"/>
      <c r="B471" s="164" t="n"/>
      <c r="C471" s="164" t="n"/>
      <c r="D471" s="164" t="n"/>
      <c r="E471" s="166" t="n"/>
      <c r="F471" s="166" t="n"/>
      <c r="G471" s="166" t="n"/>
      <c r="H471" s="167">
        <f>E471+F471+G471</f>
        <v/>
      </c>
      <c r="I471" s="168" t="n"/>
      <c r="J471" s="167">
        <f>H471*(1+I471)</f>
        <v/>
      </c>
      <c r="K471" s="169" t="n"/>
      <c r="L471" s="170">
        <f>SUMIFS('HISTORIQUE DOCS'!$H$4:$H$1000,'HISTORIQUE DOCS'!$F$4:$F$1000,A471,'HISTORIQUE DOCS'!$C$4:$C$1000,"FACTURE",'HISTORIQUE DOCS'!$P$4:$P$1000,"VALIDÉ")</f>
        <v/>
      </c>
      <c r="M471" s="170">
        <f>K471-L471</f>
        <v/>
      </c>
      <c r="N471" s="169" t="n"/>
      <c r="O471" s="164" t="n"/>
      <c r="P471" s="164" t="n"/>
    </row>
    <row r="472">
      <c r="A472" s="164" t="n"/>
      <c r="B472" s="164" t="n"/>
      <c r="C472" s="164" t="n"/>
      <c r="D472" s="164" t="n"/>
      <c r="E472" s="166" t="n"/>
      <c r="F472" s="166" t="n"/>
      <c r="G472" s="166" t="n"/>
      <c r="H472" s="167">
        <f>E472+F472+G472</f>
        <v/>
      </c>
      <c r="I472" s="168" t="n"/>
      <c r="J472" s="167">
        <f>H472*(1+I472)</f>
        <v/>
      </c>
      <c r="K472" s="169" t="n"/>
      <c r="L472" s="170">
        <f>SUMIFS('HISTORIQUE DOCS'!$H$4:$H$1000,'HISTORIQUE DOCS'!$F$4:$F$1000,A472,'HISTORIQUE DOCS'!$C$4:$C$1000,"FACTURE",'HISTORIQUE DOCS'!$P$4:$P$1000,"VALIDÉ")</f>
        <v/>
      </c>
      <c r="M472" s="170">
        <f>K472-L472</f>
        <v/>
      </c>
      <c r="N472" s="169" t="n"/>
      <c r="O472" s="164" t="n"/>
      <c r="P472" s="164" t="n"/>
    </row>
    <row r="473">
      <c r="A473" s="164" t="n"/>
      <c r="B473" s="164" t="n"/>
      <c r="C473" s="164" t="n"/>
      <c r="D473" s="164" t="n"/>
      <c r="E473" s="166" t="n"/>
      <c r="F473" s="166" t="n"/>
      <c r="G473" s="166" t="n"/>
      <c r="H473" s="167">
        <f>E473+F473+G473</f>
        <v/>
      </c>
      <c r="I473" s="168" t="n"/>
      <c r="J473" s="167">
        <f>H473*(1+I473)</f>
        <v/>
      </c>
      <c r="K473" s="169" t="n"/>
      <c r="L473" s="170">
        <f>SUMIFS('HISTORIQUE DOCS'!$H$4:$H$1000,'HISTORIQUE DOCS'!$F$4:$F$1000,A473,'HISTORIQUE DOCS'!$C$4:$C$1000,"FACTURE",'HISTORIQUE DOCS'!$P$4:$P$1000,"VALIDÉ")</f>
        <v/>
      </c>
      <c r="M473" s="170">
        <f>K473-L473</f>
        <v/>
      </c>
      <c r="N473" s="169" t="n"/>
      <c r="O473" s="164" t="n"/>
      <c r="P473" s="164" t="n"/>
    </row>
    <row r="474">
      <c r="A474" s="164" t="n"/>
      <c r="B474" s="164" t="n"/>
      <c r="C474" s="164" t="n"/>
      <c r="D474" s="164" t="n"/>
      <c r="E474" s="166" t="n"/>
      <c r="F474" s="166" t="n"/>
      <c r="G474" s="166" t="n"/>
      <c r="H474" s="167">
        <f>E474+F474+G474</f>
        <v/>
      </c>
      <c r="I474" s="168" t="n"/>
      <c r="J474" s="167">
        <f>H474*(1+I474)</f>
        <v/>
      </c>
      <c r="K474" s="169" t="n"/>
      <c r="L474" s="170">
        <f>SUMIFS('HISTORIQUE DOCS'!$H$4:$H$1000,'HISTORIQUE DOCS'!$F$4:$F$1000,A474,'HISTORIQUE DOCS'!$C$4:$C$1000,"FACTURE",'HISTORIQUE DOCS'!$P$4:$P$1000,"VALIDÉ")</f>
        <v/>
      </c>
      <c r="M474" s="170">
        <f>K474-L474</f>
        <v/>
      </c>
      <c r="N474" s="169" t="n"/>
      <c r="O474" s="164" t="n"/>
      <c r="P474" s="164" t="n"/>
    </row>
    <row r="475">
      <c r="A475" s="164" t="n"/>
      <c r="B475" s="164" t="n"/>
      <c r="C475" s="164" t="n"/>
      <c r="D475" s="164" t="n"/>
      <c r="E475" s="166" t="n"/>
      <c r="F475" s="166" t="n"/>
      <c r="G475" s="166" t="n"/>
      <c r="H475" s="167">
        <f>E475+F475+G475</f>
        <v/>
      </c>
      <c r="I475" s="168" t="n"/>
      <c r="J475" s="167">
        <f>H475*(1+I475)</f>
        <v/>
      </c>
      <c r="K475" s="169" t="n"/>
      <c r="L475" s="170">
        <f>SUMIFS('HISTORIQUE DOCS'!$H$4:$H$1000,'HISTORIQUE DOCS'!$F$4:$F$1000,A475,'HISTORIQUE DOCS'!$C$4:$C$1000,"FACTURE",'HISTORIQUE DOCS'!$P$4:$P$1000,"VALIDÉ")</f>
        <v/>
      </c>
      <c r="M475" s="170">
        <f>K475-L475</f>
        <v/>
      </c>
      <c r="N475" s="169" t="n"/>
      <c r="O475" s="164" t="n"/>
      <c r="P475" s="164" t="n"/>
    </row>
    <row r="476">
      <c r="A476" s="164" t="n"/>
      <c r="B476" s="164" t="n"/>
      <c r="C476" s="164" t="n"/>
      <c r="D476" s="164" t="n"/>
      <c r="E476" s="166" t="n"/>
      <c r="F476" s="166" t="n"/>
      <c r="G476" s="166" t="n"/>
      <c r="H476" s="167">
        <f>E476+F476+G476</f>
        <v/>
      </c>
      <c r="I476" s="168" t="n"/>
      <c r="J476" s="167">
        <f>H476*(1+I476)</f>
        <v/>
      </c>
      <c r="K476" s="169" t="n"/>
      <c r="L476" s="170">
        <f>SUMIFS('HISTORIQUE DOCS'!$H$4:$H$1000,'HISTORIQUE DOCS'!$F$4:$F$1000,A476,'HISTORIQUE DOCS'!$C$4:$C$1000,"FACTURE",'HISTORIQUE DOCS'!$P$4:$P$1000,"VALIDÉ")</f>
        <v/>
      </c>
      <c r="M476" s="170">
        <f>K476-L476</f>
        <v/>
      </c>
      <c r="N476" s="169" t="n"/>
      <c r="O476" s="164" t="n"/>
      <c r="P476" s="164" t="n"/>
    </row>
    <row r="477">
      <c r="A477" s="164" t="n"/>
      <c r="B477" s="164" t="n"/>
      <c r="C477" s="164" t="n"/>
      <c r="D477" s="164" t="n"/>
      <c r="E477" s="166" t="n"/>
      <c r="F477" s="166" t="n"/>
      <c r="G477" s="166" t="n"/>
      <c r="H477" s="167">
        <f>E477+F477+G477</f>
        <v/>
      </c>
      <c r="I477" s="168" t="n"/>
      <c r="J477" s="167">
        <f>H477*(1+I477)</f>
        <v/>
      </c>
      <c r="K477" s="169" t="n"/>
      <c r="L477" s="170">
        <f>SUMIFS('HISTORIQUE DOCS'!$H$4:$H$1000,'HISTORIQUE DOCS'!$F$4:$F$1000,A477,'HISTORIQUE DOCS'!$C$4:$C$1000,"FACTURE",'HISTORIQUE DOCS'!$P$4:$P$1000,"VALIDÉ")</f>
        <v/>
      </c>
      <c r="M477" s="170">
        <f>K477-L477</f>
        <v/>
      </c>
      <c r="N477" s="169" t="n"/>
      <c r="O477" s="164" t="n"/>
      <c r="P477" s="164" t="n"/>
    </row>
    <row r="478">
      <c r="A478" s="164" t="n"/>
      <c r="B478" s="164" t="n"/>
      <c r="C478" s="164" t="n"/>
      <c r="D478" s="164" t="n"/>
      <c r="E478" s="166" t="n"/>
      <c r="F478" s="166" t="n"/>
      <c r="G478" s="166" t="n"/>
      <c r="H478" s="167">
        <f>E478+F478+G478</f>
        <v/>
      </c>
      <c r="I478" s="168" t="n"/>
      <c r="J478" s="167">
        <f>H478*(1+I478)</f>
        <v/>
      </c>
      <c r="K478" s="169" t="n"/>
      <c r="L478" s="170">
        <f>SUMIFS('HISTORIQUE DOCS'!$H$4:$H$1000,'HISTORIQUE DOCS'!$F$4:$F$1000,A478,'HISTORIQUE DOCS'!$C$4:$C$1000,"FACTURE",'HISTORIQUE DOCS'!$P$4:$P$1000,"VALIDÉ")</f>
        <v/>
      </c>
      <c r="M478" s="170">
        <f>K478-L478</f>
        <v/>
      </c>
      <c r="N478" s="169" t="n"/>
      <c r="O478" s="164" t="n"/>
      <c r="P478" s="164" t="n"/>
    </row>
    <row r="479">
      <c r="A479" s="164" t="n"/>
      <c r="B479" s="164" t="n"/>
      <c r="C479" s="164" t="n"/>
      <c r="D479" s="164" t="n"/>
      <c r="E479" s="166" t="n"/>
      <c r="F479" s="166" t="n"/>
      <c r="G479" s="166" t="n"/>
      <c r="H479" s="167">
        <f>E479+F479+G479</f>
        <v/>
      </c>
      <c r="I479" s="168" t="n"/>
      <c r="J479" s="167">
        <f>H479*(1+I479)</f>
        <v/>
      </c>
      <c r="K479" s="169" t="n"/>
      <c r="L479" s="170">
        <f>SUMIFS('HISTORIQUE DOCS'!$H$4:$H$1000,'HISTORIQUE DOCS'!$F$4:$F$1000,A479,'HISTORIQUE DOCS'!$C$4:$C$1000,"FACTURE",'HISTORIQUE DOCS'!$P$4:$P$1000,"VALIDÉ")</f>
        <v/>
      </c>
      <c r="M479" s="170">
        <f>K479-L479</f>
        <v/>
      </c>
      <c r="N479" s="169" t="n"/>
      <c r="O479" s="164" t="n"/>
      <c r="P479" s="164" t="n"/>
    </row>
    <row r="480">
      <c r="A480" s="164" t="n"/>
      <c r="B480" s="164" t="n"/>
      <c r="C480" s="164" t="n"/>
      <c r="D480" s="164" t="n"/>
      <c r="E480" s="166" t="n"/>
      <c r="F480" s="166" t="n"/>
      <c r="G480" s="166" t="n"/>
      <c r="H480" s="167">
        <f>E480+F480+G480</f>
        <v/>
      </c>
      <c r="I480" s="168" t="n"/>
      <c r="J480" s="167">
        <f>H480*(1+I480)</f>
        <v/>
      </c>
      <c r="K480" s="169" t="n"/>
      <c r="L480" s="170">
        <f>SUMIFS('HISTORIQUE DOCS'!$H$4:$H$1000,'HISTORIQUE DOCS'!$F$4:$F$1000,A480,'HISTORIQUE DOCS'!$C$4:$C$1000,"FACTURE",'HISTORIQUE DOCS'!$P$4:$P$1000,"VALIDÉ")</f>
        <v/>
      </c>
      <c r="M480" s="170">
        <f>K480-L480</f>
        <v/>
      </c>
      <c r="N480" s="169" t="n"/>
      <c r="O480" s="164" t="n"/>
      <c r="P480" s="164" t="n"/>
    </row>
    <row r="481">
      <c r="A481" s="164" t="n"/>
      <c r="B481" s="164" t="n"/>
      <c r="C481" s="164" t="n"/>
      <c r="D481" s="164" t="n"/>
      <c r="E481" s="166" t="n"/>
      <c r="F481" s="166" t="n"/>
      <c r="G481" s="166" t="n"/>
      <c r="H481" s="167">
        <f>E481+F481+G481</f>
        <v/>
      </c>
      <c r="I481" s="168" t="n"/>
      <c r="J481" s="167">
        <f>H481*(1+I481)</f>
        <v/>
      </c>
      <c r="K481" s="169" t="n"/>
      <c r="L481" s="170">
        <f>SUMIFS('HISTORIQUE DOCS'!$H$4:$H$1000,'HISTORIQUE DOCS'!$F$4:$F$1000,A481,'HISTORIQUE DOCS'!$C$4:$C$1000,"FACTURE",'HISTORIQUE DOCS'!$P$4:$P$1000,"VALIDÉ")</f>
        <v/>
      </c>
      <c r="M481" s="170">
        <f>K481-L481</f>
        <v/>
      </c>
      <c r="N481" s="169" t="n"/>
      <c r="O481" s="164" t="n"/>
      <c r="P481" s="164" t="n"/>
    </row>
    <row r="482">
      <c r="A482" s="164" t="n"/>
      <c r="B482" s="164" t="n"/>
      <c r="C482" s="164" t="n"/>
      <c r="D482" s="164" t="n"/>
      <c r="E482" s="166" t="n"/>
      <c r="F482" s="166" t="n"/>
      <c r="G482" s="166" t="n"/>
      <c r="H482" s="167">
        <f>E482+F482+G482</f>
        <v/>
      </c>
      <c r="I482" s="168" t="n"/>
      <c r="J482" s="167">
        <f>H482*(1+I482)</f>
        <v/>
      </c>
      <c r="K482" s="169" t="n"/>
      <c r="L482" s="170">
        <f>SUMIFS('HISTORIQUE DOCS'!$H$4:$H$1000,'HISTORIQUE DOCS'!$F$4:$F$1000,A482,'HISTORIQUE DOCS'!$C$4:$C$1000,"FACTURE",'HISTORIQUE DOCS'!$P$4:$P$1000,"VALIDÉ")</f>
        <v/>
      </c>
      <c r="M482" s="170">
        <f>K482-L482</f>
        <v/>
      </c>
      <c r="N482" s="169" t="n"/>
      <c r="O482" s="164" t="n"/>
      <c r="P482" s="164" t="n"/>
    </row>
    <row r="483">
      <c r="A483" s="164" t="n"/>
      <c r="B483" s="164" t="n"/>
      <c r="C483" s="164" t="n"/>
      <c r="D483" s="164" t="n"/>
      <c r="E483" s="166" t="n"/>
      <c r="F483" s="166" t="n"/>
      <c r="G483" s="166" t="n"/>
      <c r="H483" s="167">
        <f>E483+F483+G483</f>
        <v/>
      </c>
      <c r="I483" s="168" t="n"/>
      <c r="J483" s="167">
        <f>H483*(1+I483)</f>
        <v/>
      </c>
      <c r="K483" s="169" t="n"/>
      <c r="L483" s="170">
        <f>SUMIFS('HISTORIQUE DOCS'!$H$4:$H$1000,'HISTORIQUE DOCS'!$F$4:$F$1000,A483,'HISTORIQUE DOCS'!$C$4:$C$1000,"FACTURE",'HISTORIQUE DOCS'!$P$4:$P$1000,"VALIDÉ")</f>
        <v/>
      </c>
      <c r="M483" s="170">
        <f>K483-L483</f>
        <v/>
      </c>
      <c r="N483" s="169" t="n"/>
      <c r="O483" s="164" t="n"/>
      <c r="P483" s="164" t="n"/>
    </row>
    <row r="484">
      <c r="A484" s="164" t="n"/>
      <c r="B484" s="164" t="n"/>
      <c r="C484" s="164" t="n"/>
      <c r="D484" s="164" t="n"/>
      <c r="E484" s="166" t="n"/>
      <c r="F484" s="166" t="n"/>
      <c r="G484" s="166" t="n"/>
      <c r="H484" s="167">
        <f>E484+F484+G484</f>
        <v/>
      </c>
      <c r="I484" s="168" t="n"/>
      <c r="J484" s="167">
        <f>H484*(1+I484)</f>
        <v/>
      </c>
      <c r="K484" s="169" t="n"/>
      <c r="L484" s="170">
        <f>SUMIFS('HISTORIQUE DOCS'!$H$4:$H$1000,'HISTORIQUE DOCS'!$F$4:$F$1000,A484,'HISTORIQUE DOCS'!$C$4:$C$1000,"FACTURE",'HISTORIQUE DOCS'!$P$4:$P$1000,"VALIDÉ")</f>
        <v/>
      </c>
      <c r="M484" s="170">
        <f>K484-L484</f>
        <v/>
      </c>
      <c r="N484" s="169" t="n"/>
      <c r="O484" s="164" t="n"/>
      <c r="P484" s="164" t="n"/>
    </row>
    <row r="485">
      <c r="A485" s="164" t="n"/>
      <c r="B485" s="164" t="n"/>
      <c r="C485" s="164" t="n"/>
      <c r="D485" s="164" t="n"/>
      <c r="E485" s="166" t="n"/>
      <c r="F485" s="166" t="n"/>
      <c r="G485" s="166" t="n"/>
      <c r="H485" s="167">
        <f>E485+F485+G485</f>
        <v/>
      </c>
      <c r="I485" s="168" t="n"/>
      <c r="J485" s="167">
        <f>H485*(1+I485)</f>
        <v/>
      </c>
      <c r="K485" s="169" t="n"/>
      <c r="L485" s="170">
        <f>SUMIFS('HISTORIQUE DOCS'!$H$4:$H$1000,'HISTORIQUE DOCS'!$F$4:$F$1000,A485,'HISTORIQUE DOCS'!$C$4:$C$1000,"FACTURE",'HISTORIQUE DOCS'!$P$4:$P$1000,"VALIDÉ")</f>
        <v/>
      </c>
      <c r="M485" s="170">
        <f>K485-L485</f>
        <v/>
      </c>
      <c r="N485" s="169" t="n"/>
      <c r="O485" s="164" t="n"/>
      <c r="P485" s="164" t="n"/>
    </row>
    <row r="486">
      <c r="A486" s="164" t="n"/>
      <c r="B486" s="164" t="n"/>
      <c r="C486" s="164" t="n"/>
      <c r="D486" s="164" t="n"/>
      <c r="E486" s="166" t="n"/>
      <c r="F486" s="166" t="n"/>
      <c r="G486" s="166" t="n"/>
      <c r="H486" s="167">
        <f>E486+F486+G486</f>
        <v/>
      </c>
      <c r="I486" s="168" t="n"/>
      <c r="J486" s="167">
        <f>H486*(1+I486)</f>
        <v/>
      </c>
      <c r="K486" s="169" t="n"/>
      <c r="L486" s="170">
        <f>SUMIFS('HISTORIQUE DOCS'!$H$4:$H$1000,'HISTORIQUE DOCS'!$F$4:$F$1000,A486,'HISTORIQUE DOCS'!$C$4:$C$1000,"FACTURE",'HISTORIQUE DOCS'!$P$4:$P$1000,"VALIDÉ")</f>
        <v/>
      </c>
      <c r="M486" s="170">
        <f>K486-L486</f>
        <v/>
      </c>
      <c r="N486" s="169" t="n"/>
      <c r="O486" s="164" t="n"/>
      <c r="P486" s="164" t="n"/>
    </row>
    <row r="487">
      <c r="A487" s="164" t="n"/>
      <c r="B487" s="164" t="n"/>
      <c r="C487" s="164" t="n"/>
      <c r="D487" s="164" t="n"/>
      <c r="E487" s="166" t="n"/>
      <c r="F487" s="166" t="n"/>
      <c r="G487" s="166" t="n"/>
      <c r="H487" s="167">
        <f>E487+F487+G487</f>
        <v/>
      </c>
      <c r="I487" s="168" t="n"/>
      <c r="J487" s="167">
        <f>H487*(1+I487)</f>
        <v/>
      </c>
      <c r="K487" s="169" t="n"/>
      <c r="L487" s="170">
        <f>SUMIFS('HISTORIQUE DOCS'!$H$4:$H$1000,'HISTORIQUE DOCS'!$F$4:$F$1000,A487,'HISTORIQUE DOCS'!$C$4:$C$1000,"FACTURE",'HISTORIQUE DOCS'!$P$4:$P$1000,"VALIDÉ")</f>
        <v/>
      </c>
      <c r="M487" s="170">
        <f>K487-L487</f>
        <v/>
      </c>
      <c r="N487" s="169" t="n"/>
      <c r="O487" s="164" t="n"/>
      <c r="P487" s="164" t="n"/>
    </row>
    <row r="488">
      <c r="A488" s="164" t="n"/>
      <c r="B488" s="164" t="n"/>
      <c r="C488" s="164" t="n"/>
      <c r="D488" s="164" t="n"/>
      <c r="E488" s="166" t="n"/>
      <c r="F488" s="166" t="n"/>
      <c r="G488" s="166" t="n"/>
      <c r="H488" s="167">
        <f>E488+F488+G488</f>
        <v/>
      </c>
      <c r="I488" s="168" t="n"/>
      <c r="J488" s="167">
        <f>H488*(1+I488)</f>
        <v/>
      </c>
      <c r="K488" s="169" t="n"/>
      <c r="L488" s="170">
        <f>SUMIFS('HISTORIQUE DOCS'!$H$4:$H$1000,'HISTORIQUE DOCS'!$F$4:$F$1000,A488,'HISTORIQUE DOCS'!$C$4:$C$1000,"FACTURE",'HISTORIQUE DOCS'!$P$4:$P$1000,"VALIDÉ")</f>
        <v/>
      </c>
      <c r="M488" s="170">
        <f>K488-L488</f>
        <v/>
      </c>
      <c r="N488" s="169" t="n"/>
      <c r="O488" s="164" t="n"/>
      <c r="P488" s="164" t="n"/>
    </row>
    <row r="489">
      <c r="A489" s="164" t="n"/>
      <c r="B489" s="164" t="n"/>
      <c r="C489" s="164" t="n"/>
      <c r="D489" s="164" t="n"/>
      <c r="E489" s="166" t="n"/>
      <c r="F489" s="166" t="n"/>
      <c r="G489" s="166" t="n"/>
      <c r="H489" s="167">
        <f>E489+F489+G489</f>
        <v/>
      </c>
      <c r="I489" s="168" t="n"/>
      <c r="J489" s="167">
        <f>H489*(1+I489)</f>
        <v/>
      </c>
      <c r="K489" s="169" t="n"/>
      <c r="L489" s="170">
        <f>SUMIFS('HISTORIQUE DOCS'!$H$4:$H$1000,'HISTORIQUE DOCS'!$F$4:$F$1000,A489,'HISTORIQUE DOCS'!$C$4:$C$1000,"FACTURE",'HISTORIQUE DOCS'!$P$4:$P$1000,"VALIDÉ")</f>
        <v/>
      </c>
      <c r="M489" s="170">
        <f>K489-L489</f>
        <v/>
      </c>
      <c r="N489" s="169" t="n"/>
      <c r="O489" s="164" t="n"/>
      <c r="P489" s="164" t="n"/>
    </row>
    <row r="490">
      <c r="A490" s="164" t="n"/>
      <c r="B490" s="164" t="n"/>
      <c r="C490" s="164" t="n"/>
      <c r="D490" s="164" t="n"/>
      <c r="E490" s="166" t="n"/>
      <c r="F490" s="166" t="n"/>
      <c r="G490" s="166" t="n"/>
      <c r="H490" s="167">
        <f>E490+F490+G490</f>
        <v/>
      </c>
      <c r="I490" s="168" t="n"/>
      <c r="J490" s="167">
        <f>H490*(1+I490)</f>
        <v/>
      </c>
      <c r="K490" s="169" t="n"/>
      <c r="L490" s="170">
        <f>SUMIFS('HISTORIQUE DOCS'!$H$4:$H$1000,'HISTORIQUE DOCS'!$F$4:$F$1000,A490,'HISTORIQUE DOCS'!$C$4:$C$1000,"FACTURE",'HISTORIQUE DOCS'!$P$4:$P$1000,"VALIDÉ")</f>
        <v/>
      </c>
      <c r="M490" s="170">
        <f>K490-L490</f>
        <v/>
      </c>
      <c r="N490" s="169" t="n"/>
      <c r="O490" s="164" t="n"/>
      <c r="P490" s="164" t="n"/>
    </row>
    <row r="491">
      <c r="A491" s="164" t="n"/>
      <c r="B491" s="164" t="n"/>
      <c r="C491" s="164" t="n"/>
      <c r="D491" s="164" t="n"/>
      <c r="E491" s="166" t="n"/>
      <c r="F491" s="166" t="n"/>
      <c r="G491" s="166" t="n"/>
      <c r="H491" s="167">
        <f>E491+F491+G491</f>
        <v/>
      </c>
      <c r="I491" s="168" t="n"/>
      <c r="J491" s="167">
        <f>H491*(1+I491)</f>
        <v/>
      </c>
      <c r="K491" s="169" t="n"/>
      <c r="L491" s="170">
        <f>SUMIFS('HISTORIQUE DOCS'!$H$4:$H$1000,'HISTORIQUE DOCS'!$F$4:$F$1000,A491,'HISTORIQUE DOCS'!$C$4:$C$1000,"FACTURE",'HISTORIQUE DOCS'!$P$4:$P$1000,"VALIDÉ")</f>
        <v/>
      </c>
      <c r="M491" s="170">
        <f>K491-L491</f>
        <v/>
      </c>
      <c r="N491" s="169" t="n"/>
      <c r="O491" s="164" t="n"/>
      <c r="P491" s="164" t="n"/>
    </row>
    <row r="492">
      <c r="A492" s="164" t="n"/>
      <c r="B492" s="164" t="n"/>
      <c r="C492" s="164" t="n"/>
      <c r="D492" s="164" t="n"/>
      <c r="E492" s="166" t="n"/>
      <c r="F492" s="166" t="n"/>
      <c r="G492" s="166" t="n"/>
      <c r="H492" s="167">
        <f>E492+F492+G492</f>
        <v/>
      </c>
      <c r="I492" s="168" t="n"/>
      <c r="J492" s="167">
        <f>H492*(1+I492)</f>
        <v/>
      </c>
      <c r="K492" s="169" t="n"/>
      <c r="L492" s="170">
        <f>SUMIFS('HISTORIQUE DOCS'!$H$4:$H$1000,'HISTORIQUE DOCS'!$F$4:$F$1000,A492,'HISTORIQUE DOCS'!$C$4:$C$1000,"FACTURE",'HISTORIQUE DOCS'!$P$4:$P$1000,"VALIDÉ")</f>
        <v/>
      </c>
      <c r="M492" s="170">
        <f>K492-L492</f>
        <v/>
      </c>
      <c r="N492" s="169" t="n"/>
      <c r="O492" s="164" t="n"/>
      <c r="P492" s="164" t="n"/>
    </row>
    <row r="493">
      <c r="A493" s="164" t="n"/>
      <c r="B493" s="164" t="n"/>
      <c r="C493" s="164" t="n"/>
      <c r="D493" s="164" t="n"/>
      <c r="E493" s="166" t="n"/>
      <c r="F493" s="166" t="n"/>
      <c r="G493" s="166" t="n"/>
      <c r="H493" s="167">
        <f>E493+F493+G493</f>
        <v/>
      </c>
      <c r="I493" s="168" t="n"/>
      <c r="J493" s="167">
        <f>H493*(1+I493)</f>
        <v/>
      </c>
      <c r="K493" s="169" t="n"/>
      <c r="L493" s="170">
        <f>SUMIFS('HISTORIQUE DOCS'!$H$4:$H$1000,'HISTORIQUE DOCS'!$F$4:$F$1000,A493,'HISTORIQUE DOCS'!$C$4:$C$1000,"FACTURE",'HISTORIQUE DOCS'!$P$4:$P$1000,"VALIDÉ")</f>
        <v/>
      </c>
      <c r="M493" s="170">
        <f>K493-L493</f>
        <v/>
      </c>
      <c r="N493" s="169" t="n"/>
      <c r="O493" s="164" t="n"/>
      <c r="P493" s="164" t="n"/>
    </row>
    <row r="494">
      <c r="A494" s="164" t="n"/>
      <c r="B494" s="164" t="n"/>
      <c r="C494" s="164" t="n"/>
      <c r="D494" s="164" t="n"/>
      <c r="E494" s="166" t="n"/>
      <c r="F494" s="166" t="n"/>
      <c r="G494" s="166" t="n"/>
      <c r="H494" s="167">
        <f>E494+F494+G494</f>
        <v/>
      </c>
      <c r="I494" s="168" t="n"/>
      <c r="J494" s="167">
        <f>H494*(1+I494)</f>
        <v/>
      </c>
      <c r="K494" s="169" t="n"/>
      <c r="L494" s="170">
        <f>SUMIFS('HISTORIQUE DOCS'!$H$4:$H$1000,'HISTORIQUE DOCS'!$F$4:$F$1000,A494,'HISTORIQUE DOCS'!$C$4:$C$1000,"FACTURE",'HISTORIQUE DOCS'!$P$4:$P$1000,"VALIDÉ")</f>
        <v/>
      </c>
      <c r="M494" s="170">
        <f>K494-L494</f>
        <v/>
      </c>
      <c r="N494" s="169" t="n"/>
      <c r="O494" s="164" t="n"/>
      <c r="P494" s="164" t="n"/>
    </row>
    <row r="495">
      <c r="A495" s="164" t="n"/>
      <c r="B495" s="164" t="n"/>
      <c r="C495" s="164" t="n"/>
      <c r="D495" s="164" t="n"/>
      <c r="E495" s="166" t="n"/>
      <c r="F495" s="166" t="n"/>
      <c r="G495" s="166" t="n"/>
      <c r="H495" s="167">
        <f>E495+F495+G495</f>
        <v/>
      </c>
      <c r="I495" s="168" t="n"/>
      <c r="J495" s="167">
        <f>H495*(1+I495)</f>
        <v/>
      </c>
      <c r="K495" s="169" t="n"/>
      <c r="L495" s="170">
        <f>SUMIFS('HISTORIQUE DOCS'!$H$4:$H$1000,'HISTORIQUE DOCS'!$F$4:$F$1000,A495,'HISTORIQUE DOCS'!$C$4:$C$1000,"FACTURE",'HISTORIQUE DOCS'!$P$4:$P$1000,"VALIDÉ")</f>
        <v/>
      </c>
      <c r="M495" s="170">
        <f>K495-L495</f>
        <v/>
      </c>
      <c r="N495" s="169" t="n"/>
      <c r="O495" s="164" t="n"/>
      <c r="P495" s="164" t="n"/>
    </row>
    <row r="496">
      <c r="A496" s="164" t="n"/>
      <c r="B496" s="164" t="n"/>
      <c r="C496" s="164" t="n"/>
      <c r="D496" s="164" t="n"/>
      <c r="E496" s="166" t="n"/>
      <c r="F496" s="166" t="n"/>
      <c r="G496" s="166" t="n"/>
      <c r="H496" s="167">
        <f>E496+F496+G496</f>
        <v/>
      </c>
      <c r="I496" s="168" t="n"/>
      <c r="J496" s="167">
        <f>H496*(1+I496)</f>
        <v/>
      </c>
      <c r="K496" s="169" t="n"/>
      <c r="L496" s="170">
        <f>SUMIFS('HISTORIQUE DOCS'!$H$4:$H$1000,'HISTORIQUE DOCS'!$F$4:$F$1000,A496,'HISTORIQUE DOCS'!$C$4:$C$1000,"FACTURE",'HISTORIQUE DOCS'!$P$4:$P$1000,"VALIDÉ")</f>
        <v/>
      </c>
      <c r="M496" s="170">
        <f>K496-L496</f>
        <v/>
      </c>
      <c r="N496" s="169" t="n"/>
      <c r="O496" s="164" t="n"/>
      <c r="P496" s="164" t="n"/>
    </row>
    <row r="497">
      <c r="A497" s="164" t="n"/>
      <c r="B497" s="164" t="n"/>
      <c r="C497" s="164" t="n"/>
      <c r="D497" s="164" t="n"/>
      <c r="E497" s="166" t="n"/>
      <c r="F497" s="166" t="n"/>
      <c r="G497" s="166" t="n"/>
      <c r="H497" s="167">
        <f>E497+F497+G497</f>
        <v/>
      </c>
      <c r="I497" s="168" t="n"/>
      <c r="J497" s="167">
        <f>H497*(1+I497)</f>
        <v/>
      </c>
      <c r="K497" s="169" t="n"/>
      <c r="L497" s="170">
        <f>SUMIFS('HISTORIQUE DOCS'!$H$4:$H$1000,'HISTORIQUE DOCS'!$F$4:$F$1000,A497,'HISTORIQUE DOCS'!$C$4:$C$1000,"FACTURE",'HISTORIQUE DOCS'!$P$4:$P$1000,"VALIDÉ")</f>
        <v/>
      </c>
      <c r="M497" s="170">
        <f>K497-L497</f>
        <v/>
      </c>
      <c r="N497" s="169" t="n"/>
      <c r="O497" s="164" t="n"/>
      <c r="P497" s="164" t="n"/>
    </row>
    <row r="498">
      <c r="A498" s="164" t="n"/>
      <c r="B498" s="164" t="n"/>
      <c r="C498" s="164" t="n"/>
      <c r="D498" s="164" t="n"/>
      <c r="E498" s="166" t="n"/>
      <c r="F498" s="166" t="n"/>
      <c r="G498" s="166" t="n"/>
      <c r="H498" s="167">
        <f>E498+F498+G498</f>
        <v/>
      </c>
      <c r="I498" s="168" t="n"/>
      <c r="J498" s="167">
        <f>H498*(1+I498)</f>
        <v/>
      </c>
      <c r="K498" s="169" t="n"/>
      <c r="L498" s="170">
        <f>SUMIFS('HISTORIQUE DOCS'!$H$4:$H$1000,'HISTORIQUE DOCS'!$F$4:$F$1000,A498,'HISTORIQUE DOCS'!$C$4:$C$1000,"FACTURE",'HISTORIQUE DOCS'!$P$4:$P$1000,"VALIDÉ")</f>
        <v/>
      </c>
      <c r="M498" s="170">
        <f>K498-L498</f>
        <v/>
      </c>
      <c r="N498" s="169" t="n"/>
      <c r="O498" s="164" t="n"/>
      <c r="P498" s="164" t="n"/>
    </row>
    <row r="499">
      <c r="A499" s="164" t="n"/>
      <c r="B499" s="164" t="n"/>
      <c r="C499" s="164" t="n"/>
      <c r="D499" s="164" t="n"/>
      <c r="E499" s="166" t="n"/>
      <c r="F499" s="166" t="n"/>
      <c r="G499" s="166" t="n"/>
      <c r="H499" s="167">
        <f>E499+F499+G499</f>
        <v/>
      </c>
      <c r="I499" s="168" t="n"/>
      <c r="J499" s="167">
        <f>H499*(1+I499)</f>
        <v/>
      </c>
      <c r="K499" s="169" t="n"/>
      <c r="L499" s="170">
        <f>SUMIFS('HISTORIQUE DOCS'!$H$4:$H$1000,'HISTORIQUE DOCS'!$F$4:$F$1000,A499,'HISTORIQUE DOCS'!$C$4:$C$1000,"FACTURE",'HISTORIQUE DOCS'!$P$4:$P$1000,"VALIDÉ")</f>
        <v/>
      </c>
      <c r="M499" s="170">
        <f>K499-L499</f>
        <v/>
      </c>
      <c r="N499" s="169" t="n"/>
      <c r="O499" s="164" t="n"/>
      <c r="P499" s="164" t="n"/>
    </row>
    <row r="500">
      <c r="A500" s="164" t="n"/>
      <c r="B500" s="164" t="n"/>
      <c r="C500" s="164" t="n"/>
      <c r="D500" s="164" t="n"/>
      <c r="E500" s="166" t="n"/>
      <c r="F500" s="166" t="n"/>
      <c r="G500" s="166" t="n"/>
      <c r="H500" s="167">
        <f>E500+F500+G500</f>
        <v/>
      </c>
      <c r="I500" s="168" t="n"/>
      <c r="J500" s="167">
        <f>H500*(1+I500)</f>
        <v/>
      </c>
      <c r="K500" s="169" t="n"/>
      <c r="L500" s="170">
        <f>SUMIFS('HISTORIQUE DOCS'!$H$4:$H$1000,'HISTORIQUE DOCS'!$F$4:$F$1000,A500,'HISTORIQUE DOCS'!$C$4:$C$1000,"FACTURE",'HISTORIQUE DOCS'!$P$4:$P$1000,"VALIDÉ")</f>
        <v/>
      </c>
      <c r="M500" s="170">
        <f>K500-L500</f>
        <v/>
      </c>
      <c r="N500" s="169" t="n"/>
      <c r="O500" s="164" t="n"/>
      <c r="P500" s="164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/>
  <autoFilter ref="A3:P500"/>
  <mergeCells count="3">
    <mergeCell ref="R1:U1"/>
    <mergeCell ref="A1:P1"/>
    <mergeCell ref="R15:S16"/>
  </mergeCells>
  <conditionalFormatting sqref="M4:M500">
    <cfRule type="expression" priority="1" dxfId="0">
      <formula>M4&lt;=N4</formula>
    </cfRule>
  </conditionalFormatting>
  <pageMargins left="0.3" right="0.3" top="0.4" bottom="0.4" header="0.3" footer="0.3"/>
  <pageSetup orientation="landscape" paperSize="9" fitToHeight="0" fitToWidth="1"/>
  <headerFooter>
    <oddHeader/>
    <oddFooter>&amp;L&amp;8 KATANGA TECHCARE&amp;R&amp;8 Page &amp;P /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6B7280"/>
    <outlinePr summaryBelow="1" summaryRight="1"/>
    <pageSetUpPr fitToPage="1"/>
  </sheetPr>
  <dimension ref="A1:L500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7" max="7"/>
  </cols>
  <sheetData>
    <row r="1" ht="26" customHeight="1">
      <c r="A1" s="9" t="inlineStr">
        <is>
          <t>FORMULAIRE &amp; JOURNAL DES ENTRÉES DE STOCK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3" ht="24" customHeight="1">
      <c r="A3" s="14" t="inlineStr">
        <is>
          <t>FORMULAIRE</t>
        </is>
      </c>
      <c r="B3" s="14" t="inlineStr">
        <is>
          <t>SAISIE</t>
        </is>
      </c>
      <c r="D3" s="14" t="inlineStr">
        <is>
          <t>Date</t>
        </is>
      </c>
      <c r="E3" s="14" t="inlineStr">
        <is>
          <t>N° Mouvement</t>
        </is>
      </c>
      <c r="F3" s="14" t="inlineStr">
        <is>
          <t>Référence</t>
        </is>
      </c>
      <c r="G3" s="14" t="inlineStr">
        <is>
          <t>Désignation</t>
        </is>
      </c>
      <c r="H3" s="14" t="inlineStr">
        <is>
          <t>Fournisseur</t>
        </is>
      </c>
      <c r="I3" s="14" t="inlineStr">
        <is>
          <t>Qté entrée</t>
        </is>
      </c>
      <c r="J3" s="14" t="inlineStr">
        <is>
          <t>Coût unitaire</t>
        </is>
      </c>
      <c r="K3" s="14" t="inlineStr">
        <is>
          <t>Transport</t>
        </is>
      </c>
      <c r="L3" s="14" t="inlineStr">
        <is>
          <t>Autres frais</t>
        </is>
      </c>
    </row>
    <row r="4">
      <c r="A4" s="31" t="inlineStr">
        <is>
          <t>Date</t>
        </is>
      </c>
      <c r="B4" s="172" t="n">
        <v>46266</v>
      </c>
      <c r="D4" s="173" t="n">
        <v>46235</v>
      </c>
      <c r="E4" s="164" t="inlineStr">
        <is>
          <t>ENT-0001</t>
        </is>
      </c>
      <c r="F4" s="164" t="inlineStr">
        <is>
          <t>ART-0001</t>
        </is>
      </c>
      <c r="G4" s="164" t="inlineStr">
        <is>
          <t>Radio Android Mercedes-Benz</t>
        </is>
      </c>
      <c r="H4" s="164" t="inlineStr">
        <is>
          <t>Fournisseur A</t>
        </is>
      </c>
      <c r="I4" s="169" t="n">
        <v>5</v>
      </c>
      <c r="J4" s="166" t="n">
        <v>100</v>
      </c>
      <c r="K4" s="166" t="n">
        <v>20</v>
      </c>
      <c r="L4" s="166" t="n">
        <v>0</v>
      </c>
    </row>
    <row r="5">
      <c r="A5" s="31" t="inlineStr">
        <is>
          <t>Référence article</t>
        </is>
      </c>
      <c r="B5" s="165" t="inlineStr">
        <is>
          <t>ART-0001</t>
        </is>
      </c>
      <c r="D5" s="173" t="n">
        <v>46236</v>
      </c>
      <c r="E5" s="164" t="inlineStr">
        <is>
          <t>ENT-0002</t>
        </is>
      </c>
      <c r="F5" s="164" t="inlineStr">
        <is>
          <t>ART-0002</t>
        </is>
      </c>
      <c r="G5" s="164" t="inlineStr">
        <is>
          <t>Jante auto + capuchon central</t>
        </is>
      </c>
      <c r="H5" s="164" t="inlineStr">
        <is>
          <t>Fournisseur B</t>
        </is>
      </c>
      <c r="I5" s="169" t="n">
        <v>8</v>
      </c>
      <c r="J5" s="166" t="n">
        <v>250</v>
      </c>
      <c r="K5" s="166" t="n">
        <v>200</v>
      </c>
      <c r="L5" s="166" t="n">
        <v>0</v>
      </c>
    </row>
    <row r="6">
      <c r="A6" s="31" t="inlineStr">
        <is>
          <t>Fournisseur</t>
        </is>
      </c>
      <c r="B6" s="165" t="inlineStr">
        <is>
          <t>Fournisseur A</t>
        </is>
      </c>
      <c r="D6" s="173" t="n">
        <v>46237</v>
      </c>
      <c r="E6" s="164" t="inlineStr">
        <is>
          <t>ENT-0003</t>
        </is>
      </c>
      <c r="F6" s="164" t="inlineStr">
        <is>
          <t>ART-0003</t>
        </is>
      </c>
      <c r="G6" s="164" t="inlineStr">
        <is>
          <t>Samsung Galaxy A17 128G + 6G</t>
        </is>
      </c>
      <c r="H6" s="164" t="inlineStr">
        <is>
          <t>Fournisseur C</t>
        </is>
      </c>
      <c r="I6" s="169" t="n">
        <v>6</v>
      </c>
      <c r="J6" s="166" t="n">
        <v>220</v>
      </c>
      <c r="K6" s="166" t="n">
        <v>90</v>
      </c>
      <c r="L6" s="166" t="n">
        <v>0</v>
      </c>
    </row>
    <row r="7">
      <c r="A7" s="31" t="inlineStr">
        <is>
          <t>Quantité reçue</t>
        </is>
      </c>
      <c r="B7" s="165" t="n">
        <v>5</v>
      </c>
      <c r="D7" s="173" t="n">
        <v>46238</v>
      </c>
      <c r="E7" s="164" t="inlineStr">
        <is>
          <t>ENT-0004</t>
        </is>
      </c>
      <c r="F7" s="164" t="inlineStr">
        <is>
          <t>SRV-0001</t>
        </is>
      </c>
      <c r="G7" s="164" t="inlineStr">
        <is>
          <t>Diagnostic automobile</t>
        </is>
      </c>
      <c r="H7" s="164" t="inlineStr">
        <is>
          <t>Interne</t>
        </is>
      </c>
      <c r="I7" s="169" t="n">
        <v>999</v>
      </c>
      <c r="J7" s="166" t="n">
        <v>0</v>
      </c>
      <c r="K7" s="166" t="n">
        <v>0</v>
      </c>
      <c r="L7" s="166" t="n">
        <v>0</v>
      </c>
    </row>
    <row r="8">
      <c r="A8" s="31" t="inlineStr">
        <is>
          <t>Coût achat unitaire</t>
        </is>
      </c>
      <c r="B8" s="165" t="n">
        <v>100</v>
      </c>
      <c r="D8" s="173" t="n"/>
      <c r="E8" s="164" t="n"/>
      <c r="F8" s="164" t="n"/>
      <c r="G8" s="164" t="n"/>
      <c r="H8" s="164" t="n"/>
      <c r="I8" s="169" t="n"/>
      <c r="J8" s="166" t="n"/>
      <c r="K8" s="166" t="n"/>
      <c r="L8" s="166" t="n"/>
    </row>
    <row r="9">
      <c r="A9" s="31" t="inlineStr">
        <is>
          <t>Transport global</t>
        </is>
      </c>
      <c r="B9" s="165" t="n">
        <v>20</v>
      </c>
      <c r="D9" s="173" t="n"/>
      <c r="E9" s="164" t="n"/>
      <c r="F9" s="164" t="n"/>
      <c r="G9" s="164" t="n"/>
      <c r="H9" s="164" t="n"/>
      <c r="I9" s="169" t="n"/>
      <c r="J9" s="166" t="n"/>
      <c r="K9" s="166" t="n"/>
      <c r="L9" s="166" t="n"/>
    </row>
    <row r="10">
      <c r="A10" s="31" t="inlineStr">
        <is>
          <t>Autres frais</t>
        </is>
      </c>
      <c r="B10" s="165" t="n">
        <v>0</v>
      </c>
      <c r="D10" s="173" t="n"/>
      <c r="E10" s="164" t="n"/>
      <c r="F10" s="164" t="n"/>
      <c r="G10" s="164" t="n"/>
      <c r="H10" s="164" t="n"/>
      <c r="I10" s="169" t="n"/>
      <c r="J10" s="166" t="n"/>
      <c r="K10" s="166" t="n"/>
      <c r="L10" s="166" t="n"/>
    </row>
    <row r="11">
      <c r="A11" s="31" t="inlineStr">
        <is>
          <t>Réf. facture fournisseur</t>
        </is>
      </c>
      <c r="B11" s="165" t="inlineStr">
        <is>
          <t>FOUR-2026-001</t>
        </is>
      </c>
      <c r="D11" s="173" t="n"/>
      <c r="E11" s="164" t="n"/>
      <c r="F11" s="164" t="n"/>
      <c r="G11" s="164" t="n"/>
      <c r="H11" s="164" t="n"/>
      <c r="I11" s="169" t="n"/>
      <c r="J11" s="166" t="n"/>
      <c r="K11" s="166" t="n"/>
      <c r="L11" s="166" t="n"/>
    </row>
    <row r="12">
      <c r="D12" s="173" t="n"/>
      <c r="E12" s="164" t="n"/>
      <c r="F12" s="164" t="n"/>
      <c r="G12" s="164" t="n"/>
      <c r="H12" s="164" t="n"/>
      <c r="I12" s="169" t="n"/>
      <c r="J12" s="166" t="n"/>
      <c r="K12" s="166" t="n"/>
      <c r="L12" s="166" t="n"/>
    </row>
    <row r="13">
      <c r="A13" s="19" t="inlineStr">
        <is>
          <t>✅ VALIDER L’ENTRÉE STOCK
(Bouton maquette)</t>
        </is>
      </c>
      <c r="B13" s="1" t="n"/>
      <c r="D13" s="173" t="n"/>
      <c r="E13" s="164" t="n"/>
      <c r="F13" s="164" t="n"/>
      <c r="G13" s="164" t="n"/>
      <c r="H13" s="164" t="n"/>
      <c r="I13" s="169" t="n"/>
      <c r="J13" s="166" t="n"/>
      <c r="K13" s="166" t="n"/>
      <c r="L13" s="166" t="n"/>
    </row>
    <row r="14">
      <c r="A14" s="1" t="n"/>
      <c r="B14" s="1" t="n"/>
      <c r="D14" s="173" t="n"/>
      <c r="E14" s="164" t="n"/>
      <c r="F14" s="164" t="n"/>
      <c r="G14" s="164" t="n"/>
      <c r="H14" s="164" t="n"/>
      <c r="I14" s="169" t="n"/>
      <c r="J14" s="166" t="n"/>
      <c r="K14" s="166" t="n"/>
      <c r="L14" s="166" t="n"/>
    </row>
    <row r="15">
      <c r="D15" s="173" t="n"/>
      <c r="E15" s="164" t="n"/>
      <c r="F15" s="164" t="n"/>
      <c r="G15" s="164" t="n"/>
      <c r="H15" s="164" t="n"/>
      <c r="I15" s="169" t="n"/>
      <c r="J15" s="166" t="n"/>
      <c r="K15" s="166" t="n"/>
      <c r="L15" s="166" t="n"/>
    </row>
    <row r="16">
      <c r="D16" s="173" t="n"/>
      <c r="E16" s="164" t="n"/>
      <c r="F16" s="164" t="n"/>
      <c r="G16" s="164" t="n"/>
      <c r="H16" s="164" t="n"/>
      <c r="I16" s="169" t="n"/>
      <c r="J16" s="166" t="n"/>
      <c r="K16" s="166" t="n"/>
      <c r="L16" s="166" t="n"/>
    </row>
    <row r="17">
      <c r="D17" s="173" t="n"/>
      <c r="E17" s="164" t="n"/>
      <c r="F17" s="164" t="n"/>
      <c r="G17" s="164" t="n"/>
      <c r="H17" s="164" t="n"/>
      <c r="I17" s="169" t="n"/>
      <c r="J17" s="166" t="n"/>
      <c r="K17" s="166" t="n"/>
      <c r="L17" s="166" t="n"/>
    </row>
    <row r="18">
      <c r="D18" s="173" t="n"/>
      <c r="E18" s="164" t="n"/>
      <c r="F18" s="164" t="n"/>
      <c r="G18" s="164" t="n"/>
      <c r="H18" s="164" t="n"/>
      <c r="I18" s="169" t="n"/>
      <c r="J18" s="166" t="n"/>
      <c r="K18" s="166" t="n"/>
      <c r="L18" s="166" t="n"/>
    </row>
    <row r="19">
      <c r="D19" s="173" t="n"/>
      <c r="E19" s="164" t="n"/>
      <c r="F19" s="164" t="n"/>
      <c r="G19" s="164" t="n"/>
      <c r="H19" s="164" t="n"/>
      <c r="I19" s="169" t="n"/>
      <c r="J19" s="166" t="n"/>
      <c r="K19" s="166" t="n"/>
      <c r="L19" s="166" t="n"/>
    </row>
    <row r="20">
      <c r="D20" s="173" t="n"/>
      <c r="E20" s="164" t="n"/>
      <c r="F20" s="164" t="n"/>
      <c r="G20" s="164" t="n"/>
      <c r="H20" s="164" t="n"/>
      <c r="I20" s="169" t="n"/>
      <c r="J20" s="166" t="n"/>
      <c r="K20" s="166" t="n"/>
      <c r="L20" s="166" t="n"/>
    </row>
    <row r="21">
      <c r="D21" s="173" t="n"/>
      <c r="E21" s="164" t="n"/>
      <c r="F21" s="164" t="n"/>
      <c r="G21" s="164" t="n"/>
      <c r="H21" s="164" t="n"/>
      <c r="I21" s="169" t="n"/>
      <c r="J21" s="166" t="n"/>
      <c r="K21" s="166" t="n"/>
      <c r="L21" s="166" t="n"/>
    </row>
    <row r="22">
      <c r="D22" s="173" t="n"/>
      <c r="E22" s="164" t="n"/>
      <c r="F22" s="164" t="n"/>
      <c r="G22" s="164" t="n"/>
      <c r="H22" s="164" t="n"/>
      <c r="I22" s="169" t="n"/>
      <c r="J22" s="166" t="n"/>
      <c r="K22" s="166" t="n"/>
      <c r="L22" s="166" t="n"/>
    </row>
    <row r="23">
      <c r="D23" s="173" t="n"/>
      <c r="E23" s="164" t="n"/>
      <c r="F23" s="164" t="n"/>
      <c r="G23" s="164" t="n"/>
      <c r="H23" s="164" t="n"/>
      <c r="I23" s="169" t="n"/>
      <c r="J23" s="166" t="n"/>
      <c r="K23" s="166" t="n"/>
      <c r="L23" s="166" t="n"/>
    </row>
    <row r="24">
      <c r="D24" s="173" t="n"/>
      <c r="E24" s="164" t="n"/>
      <c r="F24" s="164" t="n"/>
      <c r="G24" s="164" t="n"/>
      <c r="H24" s="164" t="n"/>
      <c r="I24" s="169" t="n"/>
      <c r="J24" s="166" t="n"/>
      <c r="K24" s="166" t="n"/>
      <c r="L24" s="166" t="n"/>
    </row>
    <row r="25">
      <c r="D25" s="173" t="n"/>
      <c r="E25" s="164" t="n"/>
      <c r="F25" s="164" t="n"/>
      <c r="G25" s="164" t="n"/>
      <c r="H25" s="164" t="n"/>
      <c r="I25" s="169" t="n"/>
      <c r="J25" s="166" t="n"/>
      <c r="K25" s="166" t="n"/>
      <c r="L25" s="166" t="n"/>
    </row>
    <row r="26">
      <c r="D26" s="173" t="n"/>
      <c r="E26" s="164" t="n"/>
      <c r="F26" s="164" t="n"/>
      <c r="G26" s="164" t="n"/>
      <c r="H26" s="164" t="n"/>
      <c r="I26" s="169" t="n"/>
      <c r="J26" s="166" t="n"/>
      <c r="K26" s="166" t="n"/>
      <c r="L26" s="166" t="n"/>
    </row>
    <row r="27">
      <c r="D27" s="173" t="n"/>
      <c r="E27" s="164" t="n"/>
      <c r="F27" s="164" t="n"/>
      <c r="G27" s="164" t="n"/>
      <c r="H27" s="164" t="n"/>
      <c r="I27" s="169" t="n"/>
      <c r="J27" s="166" t="n"/>
      <c r="K27" s="166" t="n"/>
      <c r="L27" s="166" t="n"/>
    </row>
    <row r="28">
      <c r="D28" s="173" t="n"/>
      <c r="E28" s="164" t="n"/>
      <c r="F28" s="164" t="n"/>
      <c r="G28" s="164" t="n"/>
      <c r="H28" s="164" t="n"/>
      <c r="I28" s="169" t="n"/>
      <c r="J28" s="166" t="n"/>
      <c r="K28" s="166" t="n"/>
      <c r="L28" s="166" t="n"/>
    </row>
    <row r="29">
      <c r="D29" s="173" t="n"/>
      <c r="E29" s="164" t="n"/>
      <c r="F29" s="164" t="n"/>
      <c r="G29" s="164" t="n"/>
      <c r="H29" s="164" t="n"/>
      <c r="I29" s="169" t="n"/>
      <c r="J29" s="166" t="n"/>
      <c r="K29" s="166" t="n"/>
      <c r="L29" s="166" t="n"/>
    </row>
    <row r="30">
      <c r="D30" s="173" t="n"/>
      <c r="E30" s="164" t="n"/>
      <c r="F30" s="164" t="n"/>
      <c r="G30" s="164" t="n"/>
      <c r="H30" s="164" t="n"/>
      <c r="I30" s="169" t="n"/>
      <c r="J30" s="166" t="n"/>
      <c r="K30" s="166" t="n"/>
      <c r="L30" s="166" t="n"/>
    </row>
    <row r="31">
      <c r="D31" s="173" t="n"/>
      <c r="E31" s="164" t="n"/>
      <c r="F31" s="164" t="n"/>
      <c r="G31" s="164" t="n"/>
      <c r="H31" s="164" t="n"/>
      <c r="I31" s="169" t="n"/>
      <c r="J31" s="166" t="n"/>
      <c r="K31" s="166" t="n"/>
      <c r="L31" s="166" t="n"/>
    </row>
    <row r="32">
      <c r="D32" s="173" t="n"/>
      <c r="E32" s="164" t="n"/>
      <c r="F32" s="164" t="n"/>
      <c r="G32" s="164" t="n"/>
      <c r="H32" s="164" t="n"/>
      <c r="I32" s="169" t="n"/>
      <c r="J32" s="166" t="n"/>
      <c r="K32" s="166" t="n"/>
      <c r="L32" s="166" t="n"/>
    </row>
    <row r="33">
      <c r="D33" s="173" t="n"/>
      <c r="E33" s="164" t="n"/>
      <c r="F33" s="164" t="n"/>
      <c r="G33" s="164" t="n"/>
      <c r="H33" s="164" t="n"/>
      <c r="I33" s="169" t="n"/>
      <c r="J33" s="166" t="n"/>
      <c r="K33" s="166" t="n"/>
      <c r="L33" s="166" t="n"/>
    </row>
    <row r="34">
      <c r="D34" s="173" t="n"/>
      <c r="E34" s="164" t="n"/>
      <c r="F34" s="164" t="n"/>
      <c r="G34" s="164" t="n"/>
      <c r="H34" s="164" t="n"/>
      <c r="I34" s="169" t="n"/>
      <c r="J34" s="166" t="n"/>
      <c r="K34" s="166" t="n"/>
      <c r="L34" s="166" t="n"/>
    </row>
    <row r="35">
      <c r="D35" s="173" t="n"/>
      <c r="E35" s="164" t="n"/>
      <c r="F35" s="164" t="n"/>
      <c r="G35" s="164" t="n"/>
      <c r="H35" s="164" t="n"/>
      <c r="I35" s="169" t="n"/>
      <c r="J35" s="166" t="n"/>
      <c r="K35" s="166" t="n"/>
      <c r="L35" s="166" t="n"/>
    </row>
    <row r="36">
      <c r="D36" s="173" t="n"/>
      <c r="E36" s="164" t="n"/>
      <c r="F36" s="164" t="n"/>
      <c r="G36" s="164" t="n"/>
      <c r="H36" s="164" t="n"/>
      <c r="I36" s="169" t="n"/>
      <c r="J36" s="166" t="n"/>
      <c r="K36" s="166" t="n"/>
      <c r="L36" s="166" t="n"/>
    </row>
    <row r="37">
      <c r="D37" s="173" t="n"/>
      <c r="E37" s="164" t="n"/>
      <c r="F37" s="164" t="n"/>
      <c r="G37" s="164" t="n"/>
      <c r="H37" s="164" t="n"/>
      <c r="I37" s="169" t="n"/>
      <c r="J37" s="166" t="n"/>
      <c r="K37" s="166" t="n"/>
      <c r="L37" s="166" t="n"/>
    </row>
    <row r="38">
      <c r="D38" s="173" t="n"/>
      <c r="E38" s="164" t="n"/>
      <c r="F38" s="164" t="n"/>
      <c r="G38" s="164" t="n"/>
      <c r="H38" s="164" t="n"/>
      <c r="I38" s="169" t="n"/>
      <c r="J38" s="166" t="n"/>
      <c r="K38" s="166" t="n"/>
      <c r="L38" s="166" t="n"/>
    </row>
    <row r="39">
      <c r="D39" s="173" t="n"/>
      <c r="E39" s="164" t="n"/>
      <c r="F39" s="164" t="n"/>
      <c r="G39" s="164" t="n"/>
      <c r="H39" s="164" t="n"/>
      <c r="I39" s="169" t="n"/>
      <c r="J39" s="166" t="n"/>
      <c r="K39" s="166" t="n"/>
      <c r="L39" s="166" t="n"/>
    </row>
    <row r="40">
      <c r="D40" s="173" t="n"/>
      <c r="E40" s="164" t="n"/>
      <c r="F40" s="164" t="n"/>
      <c r="G40" s="164" t="n"/>
      <c r="H40" s="164" t="n"/>
      <c r="I40" s="169" t="n"/>
      <c r="J40" s="166" t="n"/>
      <c r="K40" s="166" t="n"/>
      <c r="L40" s="166" t="n"/>
    </row>
    <row r="41">
      <c r="D41" s="173" t="n"/>
      <c r="E41" s="164" t="n"/>
      <c r="F41" s="164" t="n"/>
      <c r="G41" s="164" t="n"/>
      <c r="H41" s="164" t="n"/>
      <c r="I41" s="169" t="n"/>
      <c r="J41" s="166" t="n"/>
      <c r="K41" s="166" t="n"/>
      <c r="L41" s="166" t="n"/>
    </row>
    <row r="42">
      <c r="D42" s="173" t="n"/>
      <c r="E42" s="164" t="n"/>
      <c r="F42" s="164" t="n"/>
      <c r="G42" s="164" t="n"/>
      <c r="H42" s="164" t="n"/>
      <c r="I42" s="169" t="n"/>
      <c r="J42" s="166" t="n"/>
      <c r="K42" s="166" t="n"/>
      <c r="L42" s="166" t="n"/>
    </row>
    <row r="43">
      <c r="D43" s="173" t="n"/>
      <c r="E43" s="164" t="n"/>
      <c r="F43" s="164" t="n"/>
      <c r="G43" s="164" t="n"/>
      <c r="H43" s="164" t="n"/>
      <c r="I43" s="169" t="n"/>
      <c r="J43" s="166" t="n"/>
      <c r="K43" s="166" t="n"/>
      <c r="L43" s="166" t="n"/>
    </row>
    <row r="44">
      <c r="D44" s="173" t="n"/>
      <c r="E44" s="164" t="n"/>
      <c r="F44" s="164" t="n"/>
      <c r="G44" s="164" t="n"/>
      <c r="H44" s="164" t="n"/>
      <c r="I44" s="169" t="n"/>
      <c r="J44" s="166" t="n"/>
      <c r="K44" s="166" t="n"/>
      <c r="L44" s="166" t="n"/>
    </row>
    <row r="45">
      <c r="D45" s="173" t="n"/>
      <c r="E45" s="164" t="n"/>
      <c r="F45" s="164" t="n"/>
      <c r="G45" s="164" t="n"/>
      <c r="H45" s="164" t="n"/>
      <c r="I45" s="169" t="n"/>
      <c r="J45" s="166" t="n"/>
      <c r="K45" s="166" t="n"/>
      <c r="L45" s="166" t="n"/>
    </row>
    <row r="46">
      <c r="D46" s="173" t="n"/>
      <c r="E46" s="164" t="n"/>
      <c r="F46" s="164" t="n"/>
      <c r="G46" s="164" t="n"/>
      <c r="H46" s="164" t="n"/>
      <c r="I46" s="169" t="n"/>
      <c r="J46" s="166" t="n"/>
      <c r="K46" s="166" t="n"/>
      <c r="L46" s="166" t="n"/>
    </row>
    <row r="47">
      <c r="D47" s="173" t="n"/>
      <c r="E47" s="164" t="n"/>
      <c r="F47" s="164" t="n"/>
      <c r="G47" s="164" t="n"/>
      <c r="H47" s="164" t="n"/>
      <c r="I47" s="169" t="n"/>
      <c r="J47" s="166" t="n"/>
      <c r="K47" s="166" t="n"/>
      <c r="L47" s="166" t="n"/>
    </row>
    <row r="48">
      <c r="D48" s="173" t="n"/>
      <c r="E48" s="164" t="n"/>
      <c r="F48" s="164" t="n"/>
      <c r="G48" s="164" t="n"/>
      <c r="H48" s="164" t="n"/>
      <c r="I48" s="169" t="n"/>
      <c r="J48" s="166" t="n"/>
      <c r="K48" s="166" t="n"/>
      <c r="L48" s="166" t="n"/>
    </row>
    <row r="49">
      <c r="D49" s="173" t="n"/>
      <c r="E49" s="164" t="n"/>
      <c r="F49" s="164" t="n"/>
      <c r="G49" s="164" t="n"/>
      <c r="H49" s="164" t="n"/>
      <c r="I49" s="169" t="n"/>
      <c r="J49" s="166" t="n"/>
      <c r="K49" s="166" t="n"/>
      <c r="L49" s="166" t="n"/>
    </row>
    <row r="50">
      <c r="D50" s="173" t="n"/>
      <c r="E50" s="164" t="n"/>
      <c r="F50" s="164" t="n"/>
      <c r="G50" s="164" t="n"/>
      <c r="H50" s="164" t="n"/>
      <c r="I50" s="169" t="n"/>
      <c r="J50" s="166" t="n"/>
      <c r="K50" s="166" t="n"/>
      <c r="L50" s="166" t="n"/>
    </row>
    <row r="51">
      <c r="D51" s="173" t="n"/>
      <c r="E51" s="164" t="n"/>
      <c r="F51" s="164" t="n"/>
      <c r="G51" s="164" t="n"/>
      <c r="H51" s="164" t="n"/>
      <c r="I51" s="169" t="n"/>
      <c r="J51" s="166" t="n"/>
      <c r="K51" s="166" t="n"/>
      <c r="L51" s="166" t="n"/>
    </row>
    <row r="52">
      <c r="D52" s="173" t="n"/>
      <c r="E52" s="164" t="n"/>
      <c r="F52" s="164" t="n"/>
      <c r="G52" s="164" t="n"/>
      <c r="H52" s="164" t="n"/>
      <c r="I52" s="169" t="n"/>
      <c r="J52" s="166" t="n"/>
      <c r="K52" s="166" t="n"/>
      <c r="L52" s="166" t="n"/>
    </row>
    <row r="53">
      <c r="D53" s="173" t="n"/>
      <c r="E53" s="164" t="n"/>
      <c r="F53" s="164" t="n"/>
      <c r="G53" s="164" t="n"/>
      <c r="H53" s="164" t="n"/>
      <c r="I53" s="169" t="n"/>
      <c r="J53" s="166" t="n"/>
      <c r="K53" s="166" t="n"/>
      <c r="L53" s="166" t="n"/>
    </row>
    <row r="54">
      <c r="D54" s="173" t="n"/>
      <c r="E54" s="164" t="n"/>
      <c r="F54" s="164" t="n"/>
      <c r="G54" s="164" t="n"/>
      <c r="H54" s="164" t="n"/>
      <c r="I54" s="169" t="n"/>
      <c r="J54" s="166" t="n"/>
      <c r="K54" s="166" t="n"/>
      <c r="L54" s="166" t="n"/>
    </row>
    <row r="55">
      <c r="D55" s="173" t="n"/>
      <c r="E55" s="164" t="n"/>
      <c r="F55" s="164" t="n"/>
      <c r="G55" s="164" t="n"/>
      <c r="H55" s="164" t="n"/>
      <c r="I55" s="169" t="n"/>
      <c r="J55" s="166" t="n"/>
      <c r="K55" s="166" t="n"/>
      <c r="L55" s="166" t="n"/>
    </row>
    <row r="56">
      <c r="D56" s="173" t="n"/>
      <c r="E56" s="164" t="n"/>
      <c r="F56" s="164" t="n"/>
      <c r="G56" s="164" t="n"/>
      <c r="H56" s="164" t="n"/>
      <c r="I56" s="169" t="n"/>
      <c r="J56" s="166" t="n"/>
      <c r="K56" s="166" t="n"/>
      <c r="L56" s="166" t="n"/>
    </row>
    <row r="57">
      <c r="D57" s="173" t="n"/>
      <c r="E57" s="164" t="n"/>
      <c r="F57" s="164" t="n"/>
      <c r="G57" s="164" t="n"/>
      <c r="H57" s="164" t="n"/>
      <c r="I57" s="169" t="n"/>
      <c r="J57" s="166" t="n"/>
      <c r="K57" s="166" t="n"/>
      <c r="L57" s="166" t="n"/>
    </row>
    <row r="58">
      <c r="D58" s="173" t="n"/>
      <c r="E58" s="164" t="n"/>
      <c r="F58" s="164" t="n"/>
      <c r="G58" s="164" t="n"/>
      <c r="H58" s="164" t="n"/>
      <c r="I58" s="169" t="n"/>
      <c r="J58" s="166" t="n"/>
      <c r="K58" s="166" t="n"/>
      <c r="L58" s="166" t="n"/>
    </row>
    <row r="59">
      <c r="D59" s="173" t="n"/>
      <c r="E59" s="164" t="n"/>
      <c r="F59" s="164" t="n"/>
      <c r="G59" s="164" t="n"/>
      <c r="H59" s="164" t="n"/>
      <c r="I59" s="169" t="n"/>
      <c r="J59" s="166" t="n"/>
      <c r="K59" s="166" t="n"/>
      <c r="L59" s="166" t="n"/>
    </row>
    <row r="60">
      <c r="D60" s="173" t="n"/>
      <c r="E60" s="164" t="n"/>
      <c r="F60" s="164" t="n"/>
      <c r="G60" s="164" t="n"/>
      <c r="H60" s="164" t="n"/>
      <c r="I60" s="169" t="n"/>
      <c r="J60" s="166" t="n"/>
      <c r="K60" s="166" t="n"/>
      <c r="L60" s="166" t="n"/>
    </row>
    <row r="61">
      <c r="D61" s="173" t="n"/>
      <c r="E61" s="164" t="n"/>
      <c r="F61" s="164" t="n"/>
      <c r="G61" s="164" t="n"/>
      <c r="H61" s="164" t="n"/>
      <c r="I61" s="169" t="n"/>
      <c r="J61" s="166" t="n"/>
      <c r="K61" s="166" t="n"/>
      <c r="L61" s="166" t="n"/>
    </row>
    <row r="62">
      <c r="D62" s="173" t="n"/>
      <c r="E62" s="164" t="n"/>
      <c r="F62" s="164" t="n"/>
      <c r="G62" s="164" t="n"/>
      <c r="H62" s="164" t="n"/>
      <c r="I62" s="169" t="n"/>
      <c r="J62" s="166" t="n"/>
      <c r="K62" s="166" t="n"/>
      <c r="L62" s="166" t="n"/>
    </row>
    <row r="63">
      <c r="D63" s="173" t="n"/>
      <c r="E63" s="164" t="n"/>
      <c r="F63" s="164" t="n"/>
      <c r="G63" s="164" t="n"/>
      <c r="H63" s="164" t="n"/>
      <c r="I63" s="169" t="n"/>
      <c r="J63" s="166" t="n"/>
      <c r="K63" s="166" t="n"/>
      <c r="L63" s="166" t="n"/>
    </row>
    <row r="64">
      <c r="D64" s="173" t="n"/>
      <c r="E64" s="164" t="n"/>
      <c r="F64" s="164" t="n"/>
      <c r="G64" s="164" t="n"/>
      <c r="H64" s="164" t="n"/>
      <c r="I64" s="169" t="n"/>
      <c r="J64" s="166" t="n"/>
      <c r="K64" s="166" t="n"/>
      <c r="L64" s="166" t="n"/>
    </row>
    <row r="65">
      <c r="D65" s="173" t="n"/>
      <c r="E65" s="164" t="n"/>
      <c r="F65" s="164" t="n"/>
      <c r="G65" s="164" t="n"/>
      <c r="H65" s="164" t="n"/>
      <c r="I65" s="169" t="n"/>
      <c r="J65" s="166" t="n"/>
      <c r="K65" s="166" t="n"/>
      <c r="L65" s="166" t="n"/>
    </row>
    <row r="66">
      <c r="D66" s="173" t="n"/>
      <c r="E66" s="164" t="n"/>
      <c r="F66" s="164" t="n"/>
      <c r="G66" s="164" t="n"/>
      <c r="H66" s="164" t="n"/>
      <c r="I66" s="169" t="n"/>
      <c r="J66" s="166" t="n"/>
      <c r="K66" s="166" t="n"/>
      <c r="L66" s="166" t="n"/>
    </row>
    <row r="67">
      <c r="D67" s="173" t="n"/>
      <c r="E67" s="164" t="n"/>
      <c r="F67" s="164" t="n"/>
      <c r="G67" s="164" t="n"/>
      <c r="H67" s="164" t="n"/>
      <c r="I67" s="169" t="n"/>
      <c r="J67" s="166" t="n"/>
      <c r="K67" s="166" t="n"/>
      <c r="L67" s="166" t="n"/>
    </row>
    <row r="68">
      <c r="D68" s="173" t="n"/>
      <c r="E68" s="164" t="n"/>
      <c r="F68" s="164" t="n"/>
      <c r="G68" s="164" t="n"/>
      <c r="H68" s="164" t="n"/>
      <c r="I68" s="169" t="n"/>
      <c r="J68" s="166" t="n"/>
      <c r="K68" s="166" t="n"/>
      <c r="L68" s="166" t="n"/>
    </row>
    <row r="69">
      <c r="D69" s="173" t="n"/>
      <c r="E69" s="164" t="n"/>
      <c r="F69" s="164" t="n"/>
      <c r="G69" s="164" t="n"/>
      <c r="H69" s="164" t="n"/>
      <c r="I69" s="169" t="n"/>
      <c r="J69" s="166" t="n"/>
      <c r="K69" s="166" t="n"/>
      <c r="L69" s="166" t="n"/>
    </row>
    <row r="70">
      <c r="D70" s="173" t="n"/>
      <c r="E70" s="164" t="n"/>
      <c r="F70" s="164" t="n"/>
      <c r="G70" s="164" t="n"/>
      <c r="H70" s="164" t="n"/>
      <c r="I70" s="169" t="n"/>
      <c r="J70" s="166" t="n"/>
      <c r="K70" s="166" t="n"/>
      <c r="L70" s="166" t="n"/>
    </row>
    <row r="71">
      <c r="D71" s="173" t="n"/>
      <c r="E71" s="164" t="n"/>
      <c r="F71" s="164" t="n"/>
      <c r="G71" s="164" t="n"/>
      <c r="H71" s="164" t="n"/>
      <c r="I71" s="169" t="n"/>
      <c r="J71" s="166" t="n"/>
      <c r="K71" s="166" t="n"/>
      <c r="L71" s="166" t="n"/>
    </row>
    <row r="72">
      <c r="D72" s="173" t="n"/>
      <c r="E72" s="164" t="n"/>
      <c r="F72" s="164" t="n"/>
      <c r="G72" s="164" t="n"/>
      <c r="H72" s="164" t="n"/>
      <c r="I72" s="169" t="n"/>
      <c r="J72" s="166" t="n"/>
      <c r="K72" s="166" t="n"/>
      <c r="L72" s="166" t="n"/>
    </row>
    <row r="73">
      <c r="D73" s="173" t="n"/>
      <c r="E73" s="164" t="n"/>
      <c r="F73" s="164" t="n"/>
      <c r="G73" s="164" t="n"/>
      <c r="H73" s="164" t="n"/>
      <c r="I73" s="169" t="n"/>
      <c r="J73" s="166" t="n"/>
      <c r="K73" s="166" t="n"/>
      <c r="L73" s="166" t="n"/>
    </row>
    <row r="74">
      <c r="D74" s="173" t="n"/>
      <c r="E74" s="164" t="n"/>
      <c r="F74" s="164" t="n"/>
      <c r="G74" s="164" t="n"/>
      <c r="H74" s="164" t="n"/>
      <c r="I74" s="169" t="n"/>
      <c r="J74" s="166" t="n"/>
      <c r="K74" s="166" t="n"/>
      <c r="L74" s="166" t="n"/>
    </row>
    <row r="75">
      <c r="D75" s="173" t="n"/>
      <c r="E75" s="164" t="n"/>
      <c r="F75" s="164" t="n"/>
      <c r="G75" s="164" t="n"/>
      <c r="H75" s="164" t="n"/>
      <c r="I75" s="169" t="n"/>
      <c r="J75" s="166" t="n"/>
      <c r="K75" s="166" t="n"/>
      <c r="L75" s="166" t="n"/>
    </row>
    <row r="76">
      <c r="D76" s="173" t="n"/>
      <c r="E76" s="164" t="n"/>
      <c r="F76" s="164" t="n"/>
      <c r="G76" s="164" t="n"/>
      <c r="H76" s="164" t="n"/>
      <c r="I76" s="169" t="n"/>
      <c r="J76" s="166" t="n"/>
      <c r="K76" s="166" t="n"/>
      <c r="L76" s="166" t="n"/>
    </row>
    <row r="77">
      <c r="D77" s="173" t="n"/>
      <c r="E77" s="164" t="n"/>
      <c r="F77" s="164" t="n"/>
      <c r="G77" s="164" t="n"/>
      <c r="H77" s="164" t="n"/>
      <c r="I77" s="169" t="n"/>
      <c r="J77" s="166" t="n"/>
      <c r="K77" s="166" t="n"/>
      <c r="L77" s="166" t="n"/>
    </row>
    <row r="78">
      <c r="D78" s="173" t="n"/>
      <c r="E78" s="164" t="n"/>
      <c r="F78" s="164" t="n"/>
      <c r="G78" s="164" t="n"/>
      <c r="H78" s="164" t="n"/>
      <c r="I78" s="169" t="n"/>
      <c r="J78" s="166" t="n"/>
      <c r="K78" s="166" t="n"/>
      <c r="L78" s="166" t="n"/>
    </row>
    <row r="79">
      <c r="D79" s="173" t="n"/>
      <c r="E79" s="164" t="n"/>
      <c r="F79" s="164" t="n"/>
      <c r="G79" s="164" t="n"/>
      <c r="H79" s="164" t="n"/>
      <c r="I79" s="169" t="n"/>
      <c r="J79" s="166" t="n"/>
      <c r="K79" s="166" t="n"/>
      <c r="L79" s="166" t="n"/>
    </row>
    <row r="80">
      <c r="D80" s="173" t="n"/>
      <c r="E80" s="164" t="n"/>
      <c r="F80" s="164" t="n"/>
      <c r="G80" s="164" t="n"/>
      <c r="H80" s="164" t="n"/>
      <c r="I80" s="169" t="n"/>
      <c r="J80" s="166" t="n"/>
      <c r="K80" s="166" t="n"/>
      <c r="L80" s="166" t="n"/>
    </row>
    <row r="81">
      <c r="D81" s="173" t="n"/>
      <c r="E81" s="164" t="n"/>
      <c r="F81" s="164" t="n"/>
      <c r="G81" s="164" t="n"/>
      <c r="H81" s="164" t="n"/>
      <c r="I81" s="169" t="n"/>
      <c r="J81" s="166" t="n"/>
      <c r="K81" s="166" t="n"/>
      <c r="L81" s="166" t="n"/>
    </row>
    <row r="82">
      <c r="D82" s="173" t="n"/>
      <c r="E82" s="164" t="n"/>
      <c r="F82" s="164" t="n"/>
      <c r="G82" s="164" t="n"/>
      <c r="H82" s="164" t="n"/>
      <c r="I82" s="169" t="n"/>
      <c r="J82" s="166" t="n"/>
      <c r="K82" s="166" t="n"/>
      <c r="L82" s="166" t="n"/>
    </row>
    <row r="83">
      <c r="D83" s="173" t="n"/>
      <c r="E83" s="164" t="n"/>
      <c r="F83" s="164" t="n"/>
      <c r="G83" s="164" t="n"/>
      <c r="H83" s="164" t="n"/>
      <c r="I83" s="169" t="n"/>
      <c r="J83" s="166" t="n"/>
      <c r="K83" s="166" t="n"/>
      <c r="L83" s="166" t="n"/>
    </row>
    <row r="84">
      <c r="D84" s="173" t="n"/>
      <c r="E84" s="164" t="n"/>
      <c r="F84" s="164" t="n"/>
      <c r="G84" s="164" t="n"/>
      <c r="H84" s="164" t="n"/>
      <c r="I84" s="169" t="n"/>
      <c r="J84" s="166" t="n"/>
      <c r="K84" s="166" t="n"/>
      <c r="L84" s="166" t="n"/>
    </row>
    <row r="85">
      <c r="D85" s="173" t="n"/>
      <c r="E85" s="164" t="n"/>
      <c r="F85" s="164" t="n"/>
      <c r="G85" s="164" t="n"/>
      <c r="H85" s="164" t="n"/>
      <c r="I85" s="169" t="n"/>
      <c r="J85" s="166" t="n"/>
      <c r="K85" s="166" t="n"/>
      <c r="L85" s="166" t="n"/>
    </row>
    <row r="86">
      <c r="D86" s="173" t="n"/>
      <c r="E86" s="164" t="n"/>
      <c r="F86" s="164" t="n"/>
      <c r="G86" s="164" t="n"/>
      <c r="H86" s="164" t="n"/>
      <c r="I86" s="169" t="n"/>
      <c r="J86" s="166" t="n"/>
      <c r="K86" s="166" t="n"/>
      <c r="L86" s="166" t="n"/>
    </row>
    <row r="87">
      <c r="D87" s="173" t="n"/>
      <c r="E87" s="164" t="n"/>
      <c r="F87" s="164" t="n"/>
      <c r="G87" s="164" t="n"/>
      <c r="H87" s="164" t="n"/>
      <c r="I87" s="169" t="n"/>
      <c r="J87" s="166" t="n"/>
      <c r="K87" s="166" t="n"/>
      <c r="L87" s="166" t="n"/>
    </row>
    <row r="88">
      <c r="D88" s="173" t="n"/>
      <c r="E88" s="164" t="n"/>
      <c r="F88" s="164" t="n"/>
      <c r="G88" s="164" t="n"/>
      <c r="H88" s="164" t="n"/>
      <c r="I88" s="169" t="n"/>
      <c r="J88" s="166" t="n"/>
      <c r="K88" s="166" t="n"/>
      <c r="L88" s="166" t="n"/>
    </row>
    <row r="89">
      <c r="D89" s="173" t="n"/>
      <c r="E89" s="164" t="n"/>
      <c r="F89" s="164" t="n"/>
      <c r="G89" s="164" t="n"/>
      <c r="H89" s="164" t="n"/>
      <c r="I89" s="169" t="n"/>
      <c r="J89" s="166" t="n"/>
      <c r="K89" s="166" t="n"/>
      <c r="L89" s="166" t="n"/>
    </row>
    <row r="90">
      <c r="D90" s="173" t="n"/>
      <c r="E90" s="164" t="n"/>
      <c r="F90" s="164" t="n"/>
      <c r="G90" s="164" t="n"/>
      <c r="H90" s="164" t="n"/>
      <c r="I90" s="169" t="n"/>
      <c r="J90" s="166" t="n"/>
      <c r="K90" s="166" t="n"/>
      <c r="L90" s="166" t="n"/>
    </row>
    <row r="91">
      <c r="D91" s="173" t="n"/>
      <c r="E91" s="164" t="n"/>
      <c r="F91" s="164" t="n"/>
      <c r="G91" s="164" t="n"/>
      <c r="H91" s="164" t="n"/>
      <c r="I91" s="169" t="n"/>
      <c r="J91" s="166" t="n"/>
      <c r="K91" s="166" t="n"/>
      <c r="L91" s="166" t="n"/>
    </row>
    <row r="92">
      <c r="D92" s="173" t="n"/>
      <c r="E92" s="164" t="n"/>
      <c r="F92" s="164" t="n"/>
      <c r="G92" s="164" t="n"/>
      <c r="H92" s="164" t="n"/>
      <c r="I92" s="169" t="n"/>
      <c r="J92" s="166" t="n"/>
      <c r="K92" s="166" t="n"/>
      <c r="L92" s="166" t="n"/>
    </row>
    <row r="93">
      <c r="D93" s="173" t="n"/>
      <c r="E93" s="164" t="n"/>
      <c r="F93" s="164" t="n"/>
      <c r="G93" s="164" t="n"/>
      <c r="H93" s="164" t="n"/>
      <c r="I93" s="169" t="n"/>
      <c r="J93" s="166" t="n"/>
      <c r="K93" s="166" t="n"/>
      <c r="L93" s="166" t="n"/>
    </row>
    <row r="94">
      <c r="D94" s="173" t="n"/>
      <c r="E94" s="164" t="n"/>
      <c r="F94" s="164" t="n"/>
      <c r="G94" s="164" t="n"/>
      <c r="H94" s="164" t="n"/>
      <c r="I94" s="169" t="n"/>
      <c r="J94" s="166" t="n"/>
      <c r="K94" s="166" t="n"/>
      <c r="L94" s="166" t="n"/>
    </row>
    <row r="95">
      <c r="D95" s="173" t="n"/>
      <c r="E95" s="164" t="n"/>
      <c r="F95" s="164" t="n"/>
      <c r="G95" s="164" t="n"/>
      <c r="H95" s="164" t="n"/>
      <c r="I95" s="169" t="n"/>
      <c r="J95" s="166" t="n"/>
      <c r="K95" s="166" t="n"/>
      <c r="L95" s="166" t="n"/>
    </row>
    <row r="96">
      <c r="D96" s="173" t="n"/>
      <c r="E96" s="164" t="n"/>
      <c r="F96" s="164" t="n"/>
      <c r="G96" s="164" t="n"/>
      <c r="H96" s="164" t="n"/>
      <c r="I96" s="169" t="n"/>
      <c r="J96" s="166" t="n"/>
      <c r="K96" s="166" t="n"/>
      <c r="L96" s="166" t="n"/>
    </row>
    <row r="97">
      <c r="D97" s="173" t="n"/>
      <c r="E97" s="164" t="n"/>
      <c r="F97" s="164" t="n"/>
      <c r="G97" s="164" t="n"/>
      <c r="H97" s="164" t="n"/>
      <c r="I97" s="169" t="n"/>
      <c r="J97" s="166" t="n"/>
      <c r="K97" s="166" t="n"/>
      <c r="L97" s="166" t="n"/>
    </row>
    <row r="98">
      <c r="D98" s="173" t="n"/>
      <c r="E98" s="164" t="n"/>
      <c r="F98" s="164" t="n"/>
      <c r="G98" s="164" t="n"/>
      <c r="H98" s="164" t="n"/>
      <c r="I98" s="169" t="n"/>
      <c r="J98" s="166" t="n"/>
      <c r="K98" s="166" t="n"/>
      <c r="L98" s="166" t="n"/>
    </row>
    <row r="99">
      <c r="D99" s="173" t="n"/>
      <c r="E99" s="164" t="n"/>
      <c r="F99" s="164" t="n"/>
      <c r="G99" s="164" t="n"/>
      <c r="H99" s="164" t="n"/>
      <c r="I99" s="169" t="n"/>
      <c r="J99" s="166" t="n"/>
      <c r="K99" s="166" t="n"/>
      <c r="L99" s="166" t="n"/>
    </row>
    <row r="100">
      <c r="D100" s="173" t="n"/>
      <c r="E100" s="164" t="n"/>
      <c r="F100" s="164" t="n"/>
      <c r="G100" s="164" t="n"/>
      <c r="H100" s="164" t="n"/>
      <c r="I100" s="169" t="n"/>
      <c r="J100" s="166" t="n"/>
      <c r="K100" s="166" t="n"/>
      <c r="L100" s="166" t="n"/>
    </row>
    <row r="101">
      <c r="D101" s="173" t="n"/>
      <c r="E101" s="164" t="n"/>
      <c r="F101" s="164" t="n"/>
      <c r="G101" s="164" t="n"/>
      <c r="H101" s="164" t="n"/>
      <c r="I101" s="169" t="n"/>
      <c r="J101" s="166" t="n"/>
      <c r="K101" s="166" t="n"/>
      <c r="L101" s="166" t="n"/>
    </row>
    <row r="102">
      <c r="D102" s="173" t="n"/>
      <c r="E102" s="164" t="n"/>
      <c r="F102" s="164" t="n"/>
      <c r="G102" s="164" t="n"/>
      <c r="H102" s="164" t="n"/>
      <c r="I102" s="169" t="n"/>
      <c r="J102" s="166" t="n"/>
      <c r="K102" s="166" t="n"/>
      <c r="L102" s="166" t="n"/>
    </row>
    <row r="103">
      <c r="D103" s="173" t="n"/>
      <c r="E103" s="164" t="n"/>
      <c r="F103" s="164" t="n"/>
      <c r="G103" s="164" t="n"/>
      <c r="H103" s="164" t="n"/>
      <c r="I103" s="169" t="n"/>
      <c r="J103" s="166" t="n"/>
      <c r="K103" s="166" t="n"/>
      <c r="L103" s="166" t="n"/>
    </row>
    <row r="104">
      <c r="D104" s="173" t="n"/>
      <c r="E104" s="164" t="n"/>
      <c r="F104" s="164" t="n"/>
      <c r="G104" s="164" t="n"/>
      <c r="H104" s="164" t="n"/>
      <c r="I104" s="169" t="n"/>
      <c r="J104" s="166" t="n"/>
      <c r="K104" s="166" t="n"/>
      <c r="L104" s="166" t="n"/>
    </row>
    <row r="105">
      <c r="D105" s="173" t="n"/>
      <c r="E105" s="164" t="n"/>
      <c r="F105" s="164" t="n"/>
      <c r="G105" s="164" t="n"/>
      <c r="H105" s="164" t="n"/>
      <c r="I105" s="169" t="n"/>
      <c r="J105" s="166" t="n"/>
      <c r="K105" s="166" t="n"/>
      <c r="L105" s="166" t="n"/>
    </row>
    <row r="106">
      <c r="D106" s="173" t="n"/>
      <c r="E106" s="164" t="n"/>
      <c r="F106" s="164" t="n"/>
      <c r="G106" s="164" t="n"/>
      <c r="H106" s="164" t="n"/>
      <c r="I106" s="169" t="n"/>
      <c r="J106" s="166" t="n"/>
      <c r="K106" s="166" t="n"/>
      <c r="L106" s="166" t="n"/>
    </row>
    <row r="107">
      <c r="D107" s="173" t="n"/>
      <c r="E107" s="164" t="n"/>
      <c r="F107" s="164" t="n"/>
      <c r="G107" s="164" t="n"/>
      <c r="H107" s="164" t="n"/>
      <c r="I107" s="169" t="n"/>
      <c r="J107" s="166" t="n"/>
      <c r="K107" s="166" t="n"/>
      <c r="L107" s="166" t="n"/>
    </row>
    <row r="108">
      <c r="D108" s="173" t="n"/>
      <c r="E108" s="164" t="n"/>
      <c r="F108" s="164" t="n"/>
      <c r="G108" s="164" t="n"/>
      <c r="H108" s="164" t="n"/>
      <c r="I108" s="169" t="n"/>
      <c r="J108" s="166" t="n"/>
      <c r="K108" s="166" t="n"/>
      <c r="L108" s="166" t="n"/>
    </row>
    <row r="109">
      <c r="D109" s="173" t="n"/>
      <c r="E109" s="164" t="n"/>
      <c r="F109" s="164" t="n"/>
      <c r="G109" s="164" t="n"/>
      <c r="H109" s="164" t="n"/>
      <c r="I109" s="169" t="n"/>
      <c r="J109" s="166" t="n"/>
      <c r="K109" s="166" t="n"/>
      <c r="L109" s="166" t="n"/>
    </row>
    <row r="110">
      <c r="D110" s="173" t="n"/>
      <c r="E110" s="164" t="n"/>
      <c r="F110" s="164" t="n"/>
      <c r="G110" s="164" t="n"/>
      <c r="H110" s="164" t="n"/>
      <c r="I110" s="169" t="n"/>
      <c r="J110" s="166" t="n"/>
      <c r="K110" s="166" t="n"/>
      <c r="L110" s="166" t="n"/>
    </row>
    <row r="111">
      <c r="D111" s="173" t="n"/>
      <c r="E111" s="164" t="n"/>
      <c r="F111" s="164" t="n"/>
      <c r="G111" s="164" t="n"/>
      <c r="H111" s="164" t="n"/>
      <c r="I111" s="169" t="n"/>
      <c r="J111" s="166" t="n"/>
      <c r="K111" s="166" t="n"/>
      <c r="L111" s="166" t="n"/>
    </row>
    <row r="112">
      <c r="D112" s="173" t="n"/>
      <c r="E112" s="164" t="n"/>
      <c r="F112" s="164" t="n"/>
      <c r="G112" s="164" t="n"/>
      <c r="H112" s="164" t="n"/>
      <c r="I112" s="169" t="n"/>
      <c r="J112" s="166" t="n"/>
      <c r="K112" s="166" t="n"/>
      <c r="L112" s="166" t="n"/>
    </row>
    <row r="113">
      <c r="D113" s="173" t="n"/>
      <c r="E113" s="164" t="n"/>
      <c r="F113" s="164" t="n"/>
      <c r="G113" s="164" t="n"/>
      <c r="H113" s="164" t="n"/>
      <c r="I113" s="169" t="n"/>
      <c r="J113" s="166" t="n"/>
      <c r="K113" s="166" t="n"/>
      <c r="L113" s="166" t="n"/>
    </row>
    <row r="114">
      <c r="D114" s="173" t="n"/>
      <c r="E114" s="164" t="n"/>
      <c r="F114" s="164" t="n"/>
      <c r="G114" s="164" t="n"/>
      <c r="H114" s="164" t="n"/>
      <c r="I114" s="169" t="n"/>
      <c r="J114" s="166" t="n"/>
      <c r="K114" s="166" t="n"/>
      <c r="L114" s="166" t="n"/>
    </row>
    <row r="115">
      <c r="D115" s="173" t="n"/>
      <c r="E115" s="164" t="n"/>
      <c r="F115" s="164" t="n"/>
      <c r="G115" s="164" t="n"/>
      <c r="H115" s="164" t="n"/>
      <c r="I115" s="169" t="n"/>
      <c r="J115" s="166" t="n"/>
      <c r="K115" s="166" t="n"/>
      <c r="L115" s="166" t="n"/>
    </row>
    <row r="116">
      <c r="D116" s="173" t="n"/>
      <c r="E116" s="164" t="n"/>
      <c r="F116" s="164" t="n"/>
      <c r="G116" s="164" t="n"/>
      <c r="H116" s="164" t="n"/>
      <c r="I116" s="169" t="n"/>
      <c r="J116" s="166" t="n"/>
      <c r="K116" s="166" t="n"/>
      <c r="L116" s="166" t="n"/>
    </row>
    <row r="117">
      <c r="D117" s="173" t="n"/>
      <c r="E117" s="164" t="n"/>
      <c r="F117" s="164" t="n"/>
      <c r="G117" s="164" t="n"/>
      <c r="H117" s="164" t="n"/>
      <c r="I117" s="169" t="n"/>
      <c r="J117" s="166" t="n"/>
      <c r="K117" s="166" t="n"/>
      <c r="L117" s="166" t="n"/>
    </row>
    <row r="118">
      <c r="D118" s="173" t="n"/>
      <c r="E118" s="164" t="n"/>
      <c r="F118" s="164" t="n"/>
      <c r="G118" s="164" t="n"/>
      <c r="H118" s="164" t="n"/>
      <c r="I118" s="169" t="n"/>
      <c r="J118" s="166" t="n"/>
      <c r="K118" s="166" t="n"/>
      <c r="L118" s="166" t="n"/>
    </row>
    <row r="119">
      <c r="D119" s="173" t="n"/>
      <c r="E119" s="164" t="n"/>
      <c r="F119" s="164" t="n"/>
      <c r="G119" s="164" t="n"/>
      <c r="H119" s="164" t="n"/>
      <c r="I119" s="169" t="n"/>
      <c r="J119" s="166" t="n"/>
      <c r="K119" s="166" t="n"/>
      <c r="L119" s="166" t="n"/>
    </row>
    <row r="120">
      <c r="D120" s="173" t="n"/>
      <c r="E120" s="164" t="n"/>
      <c r="F120" s="164" t="n"/>
      <c r="G120" s="164" t="n"/>
      <c r="H120" s="164" t="n"/>
      <c r="I120" s="169" t="n"/>
      <c r="J120" s="166" t="n"/>
      <c r="K120" s="166" t="n"/>
      <c r="L120" s="166" t="n"/>
    </row>
    <row r="121">
      <c r="D121" s="173" t="n"/>
      <c r="E121" s="164" t="n"/>
      <c r="F121" s="164" t="n"/>
      <c r="G121" s="164" t="n"/>
      <c r="H121" s="164" t="n"/>
      <c r="I121" s="169" t="n"/>
      <c r="J121" s="166" t="n"/>
      <c r="K121" s="166" t="n"/>
      <c r="L121" s="166" t="n"/>
    </row>
    <row r="122">
      <c r="D122" s="173" t="n"/>
      <c r="E122" s="164" t="n"/>
      <c r="F122" s="164" t="n"/>
      <c r="G122" s="164" t="n"/>
      <c r="H122" s="164" t="n"/>
      <c r="I122" s="169" t="n"/>
      <c r="J122" s="166" t="n"/>
      <c r="K122" s="166" t="n"/>
      <c r="L122" s="166" t="n"/>
    </row>
    <row r="123">
      <c r="D123" s="173" t="n"/>
      <c r="E123" s="164" t="n"/>
      <c r="F123" s="164" t="n"/>
      <c r="G123" s="164" t="n"/>
      <c r="H123" s="164" t="n"/>
      <c r="I123" s="169" t="n"/>
      <c r="J123" s="166" t="n"/>
      <c r="K123" s="166" t="n"/>
      <c r="L123" s="166" t="n"/>
    </row>
    <row r="124">
      <c r="D124" s="173" t="n"/>
      <c r="E124" s="164" t="n"/>
      <c r="F124" s="164" t="n"/>
      <c r="G124" s="164" t="n"/>
      <c r="H124" s="164" t="n"/>
      <c r="I124" s="169" t="n"/>
      <c r="J124" s="166" t="n"/>
      <c r="K124" s="166" t="n"/>
      <c r="L124" s="166" t="n"/>
    </row>
    <row r="125">
      <c r="D125" s="173" t="n"/>
      <c r="E125" s="164" t="n"/>
      <c r="F125" s="164" t="n"/>
      <c r="G125" s="164" t="n"/>
      <c r="H125" s="164" t="n"/>
      <c r="I125" s="169" t="n"/>
      <c r="J125" s="166" t="n"/>
      <c r="K125" s="166" t="n"/>
      <c r="L125" s="166" t="n"/>
    </row>
    <row r="126">
      <c r="D126" s="173" t="n"/>
      <c r="E126" s="164" t="n"/>
      <c r="F126" s="164" t="n"/>
      <c r="G126" s="164" t="n"/>
      <c r="H126" s="164" t="n"/>
      <c r="I126" s="169" t="n"/>
      <c r="J126" s="166" t="n"/>
      <c r="K126" s="166" t="n"/>
      <c r="L126" s="166" t="n"/>
    </row>
    <row r="127">
      <c r="D127" s="173" t="n"/>
      <c r="E127" s="164" t="n"/>
      <c r="F127" s="164" t="n"/>
      <c r="G127" s="164" t="n"/>
      <c r="H127" s="164" t="n"/>
      <c r="I127" s="169" t="n"/>
      <c r="J127" s="166" t="n"/>
      <c r="K127" s="166" t="n"/>
      <c r="L127" s="166" t="n"/>
    </row>
    <row r="128">
      <c r="D128" s="173" t="n"/>
      <c r="E128" s="164" t="n"/>
      <c r="F128" s="164" t="n"/>
      <c r="G128" s="164" t="n"/>
      <c r="H128" s="164" t="n"/>
      <c r="I128" s="169" t="n"/>
      <c r="J128" s="166" t="n"/>
      <c r="K128" s="166" t="n"/>
      <c r="L128" s="166" t="n"/>
    </row>
    <row r="129">
      <c r="D129" s="173" t="n"/>
      <c r="E129" s="164" t="n"/>
      <c r="F129" s="164" t="n"/>
      <c r="G129" s="164" t="n"/>
      <c r="H129" s="164" t="n"/>
      <c r="I129" s="169" t="n"/>
      <c r="J129" s="166" t="n"/>
      <c r="K129" s="166" t="n"/>
      <c r="L129" s="166" t="n"/>
    </row>
    <row r="130">
      <c r="D130" s="173" t="n"/>
      <c r="E130" s="164" t="n"/>
      <c r="F130" s="164" t="n"/>
      <c r="G130" s="164" t="n"/>
      <c r="H130" s="164" t="n"/>
      <c r="I130" s="169" t="n"/>
      <c r="J130" s="166" t="n"/>
      <c r="K130" s="166" t="n"/>
      <c r="L130" s="166" t="n"/>
    </row>
    <row r="131">
      <c r="D131" s="173" t="n"/>
      <c r="E131" s="164" t="n"/>
      <c r="F131" s="164" t="n"/>
      <c r="G131" s="164" t="n"/>
      <c r="H131" s="164" t="n"/>
      <c r="I131" s="169" t="n"/>
      <c r="J131" s="166" t="n"/>
      <c r="K131" s="166" t="n"/>
      <c r="L131" s="166" t="n"/>
    </row>
    <row r="132">
      <c r="D132" s="173" t="n"/>
      <c r="E132" s="164" t="n"/>
      <c r="F132" s="164" t="n"/>
      <c r="G132" s="164" t="n"/>
      <c r="H132" s="164" t="n"/>
      <c r="I132" s="169" t="n"/>
      <c r="J132" s="166" t="n"/>
      <c r="K132" s="166" t="n"/>
      <c r="L132" s="166" t="n"/>
    </row>
    <row r="133">
      <c r="D133" s="173" t="n"/>
      <c r="E133" s="164" t="n"/>
      <c r="F133" s="164" t="n"/>
      <c r="G133" s="164" t="n"/>
      <c r="H133" s="164" t="n"/>
      <c r="I133" s="169" t="n"/>
      <c r="J133" s="166" t="n"/>
      <c r="K133" s="166" t="n"/>
      <c r="L133" s="166" t="n"/>
    </row>
    <row r="134">
      <c r="D134" s="173" t="n"/>
      <c r="E134" s="164" t="n"/>
      <c r="F134" s="164" t="n"/>
      <c r="G134" s="164" t="n"/>
      <c r="H134" s="164" t="n"/>
      <c r="I134" s="169" t="n"/>
      <c r="J134" s="166" t="n"/>
      <c r="K134" s="166" t="n"/>
      <c r="L134" s="166" t="n"/>
    </row>
    <row r="135">
      <c r="D135" s="173" t="n"/>
      <c r="E135" s="164" t="n"/>
      <c r="F135" s="164" t="n"/>
      <c r="G135" s="164" t="n"/>
      <c r="H135" s="164" t="n"/>
      <c r="I135" s="169" t="n"/>
      <c r="J135" s="166" t="n"/>
      <c r="K135" s="166" t="n"/>
      <c r="L135" s="166" t="n"/>
    </row>
    <row r="136">
      <c r="D136" s="173" t="n"/>
      <c r="E136" s="164" t="n"/>
      <c r="F136" s="164" t="n"/>
      <c r="G136" s="164" t="n"/>
      <c r="H136" s="164" t="n"/>
      <c r="I136" s="169" t="n"/>
      <c r="J136" s="166" t="n"/>
      <c r="K136" s="166" t="n"/>
      <c r="L136" s="166" t="n"/>
    </row>
    <row r="137">
      <c r="D137" s="173" t="n"/>
      <c r="E137" s="164" t="n"/>
      <c r="F137" s="164" t="n"/>
      <c r="G137" s="164" t="n"/>
      <c r="H137" s="164" t="n"/>
      <c r="I137" s="169" t="n"/>
      <c r="J137" s="166" t="n"/>
      <c r="K137" s="166" t="n"/>
      <c r="L137" s="166" t="n"/>
    </row>
    <row r="138">
      <c r="D138" s="173" t="n"/>
      <c r="E138" s="164" t="n"/>
      <c r="F138" s="164" t="n"/>
      <c r="G138" s="164" t="n"/>
      <c r="H138" s="164" t="n"/>
      <c r="I138" s="169" t="n"/>
      <c r="J138" s="166" t="n"/>
      <c r="K138" s="166" t="n"/>
      <c r="L138" s="166" t="n"/>
    </row>
    <row r="139">
      <c r="D139" s="173" t="n"/>
      <c r="E139" s="164" t="n"/>
      <c r="F139" s="164" t="n"/>
      <c r="G139" s="164" t="n"/>
      <c r="H139" s="164" t="n"/>
      <c r="I139" s="169" t="n"/>
      <c r="J139" s="166" t="n"/>
      <c r="K139" s="166" t="n"/>
      <c r="L139" s="166" t="n"/>
    </row>
    <row r="140">
      <c r="D140" s="173" t="n"/>
      <c r="E140" s="164" t="n"/>
      <c r="F140" s="164" t="n"/>
      <c r="G140" s="164" t="n"/>
      <c r="H140" s="164" t="n"/>
      <c r="I140" s="169" t="n"/>
      <c r="J140" s="166" t="n"/>
      <c r="K140" s="166" t="n"/>
      <c r="L140" s="166" t="n"/>
    </row>
    <row r="141">
      <c r="D141" s="173" t="n"/>
      <c r="E141" s="164" t="n"/>
      <c r="F141" s="164" t="n"/>
      <c r="G141" s="164" t="n"/>
      <c r="H141" s="164" t="n"/>
      <c r="I141" s="169" t="n"/>
      <c r="J141" s="166" t="n"/>
      <c r="K141" s="166" t="n"/>
      <c r="L141" s="166" t="n"/>
    </row>
    <row r="142">
      <c r="D142" s="173" t="n"/>
      <c r="E142" s="164" t="n"/>
      <c r="F142" s="164" t="n"/>
      <c r="G142" s="164" t="n"/>
      <c r="H142" s="164" t="n"/>
      <c r="I142" s="169" t="n"/>
      <c r="J142" s="166" t="n"/>
      <c r="K142" s="166" t="n"/>
      <c r="L142" s="166" t="n"/>
    </row>
    <row r="143">
      <c r="D143" s="173" t="n"/>
      <c r="E143" s="164" t="n"/>
      <c r="F143" s="164" t="n"/>
      <c r="G143" s="164" t="n"/>
      <c r="H143" s="164" t="n"/>
      <c r="I143" s="169" t="n"/>
      <c r="J143" s="166" t="n"/>
      <c r="K143" s="166" t="n"/>
      <c r="L143" s="166" t="n"/>
    </row>
    <row r="144">
      <c r="D144" s="173" t="n"/>
      <c r="E144" s="164" t="n"/>
      <c r="F144" s="164" t="n"/>
      <c r="G144" s="164" t="n"/>
      <c r="H144" s="164" t="n"/>
      <c r="I144" s="169" t="n"/>
      <c r="J144" s="166" t="n"/>
      <c r="K144" s="166" t="n"/>
      <c r="L144" s="166" t="n"/>
    </row>
    <row r="145">
      <c r="D145" s="173" t="n"/>
      <c r="E145" s="164" t="n"/>
      <c r="F145" s="164" t="n"/>
      <c r="G145" s="164" t="n"/>
      <c r="H145" s="164" t="n"/>
      <c r="I145" s="169" t="n"/>
      <c r="J145" s="166" t="n"/>
      <c r="K145" s="166" t="n"/>
      <c r="L145" s="166" t="n"/>
    </row>
    <row r="146">
      <c r="D146" s="173" t="n"/>
      <c r="E146" s="164" t="n"/>
      <c r="F146" s="164" t="n"/>
      <c r="G146" s="164" t="n"/>
      <c r="H146" s="164" t="n"/>
      <c r="I146" s="169" t="n"/>
      <c r="J146" s="166" t="n"/>
      <c r="K146" s="166" t="n"/>
      <c r="L146" s="166" t="n"/>
    </row>
    <row r="147">
      <c r="D147" s="173" t="n"/>
      <c r="E147" s="164" t="n"/>
      <c r="F147" s="164" t="n"/>
      <c r="G147" s="164" t="n"/>
      <c r="H147" s="164" t="n"/>
      <c r="I147" s="169" t="n"/>
      <c r="J147" s="166" t="n"/>
      <c r="K147" s="166" t="n"/>
      <c r="L147" s="166" t="n"/>
    </row>
    <row r="148">
      <c r="D148" s="173" t="n"/>
      <c r="E148" s="164" t="n"/>
      <c r="F148" s="164" t="n"/>
      <c r="G148" s="164" t="n"/>
      <c r="H148" s="164" t="n"/>
      <c r="I148" s="169" t="n"/>
      <c r="J148" s="166" t="n"/>
      <c r="K148" s="166" t="n"/>
      <c r="L148" s="166" t="n"/>
    </row>
    <row r="149">
      <c r="D149" s="173" t="n"/>
      <c r="E149" s="164" t="n"/>
      <c r="F149" s="164" t="n"/>
      <c r="G149" s="164" t="n"/>
      <c r="H149" s="164" t="n"/>
      <c r="I149" s="169" t="n"/>
      <c r="J149" s="166" t="n"/>
      <c r="K149" s="166" t="n"/>
      <c r="L149" s="166" t="n"/>
    </row>
    <row r="150">
      <c r="D150" s="173" t="n"/>
      <c r="E150" s="164" t="n"/>
      <c r="F150" s="164" t="n"/>
      <c r="G150" s="164" t="n"/>
      <c r="H150" s="164" t="n"/>
      <c r="I150" s="169" t="n"/>
      <c r="J150" s="166" t="n"/>
      <c r="K150" s="166" t="n"/>
      <c r="L150" s="166" t="n"/>
    </row>
    <row r="151">
      <c r="D151" s="173" t="n"/>
      <c r="E151" s="164" t="n"/>
      <c r="F151" s="164" t="n"/>
      <c r="G151" s="164" t="n"/>
      <c r="H151" s="164" t="n"/>
      <c r="I151" s="169" t="n"/>
      <c r="J151" s="166" t="n"/>
      <c r="K151" s="166" t="n"/>
      <c r="L151" s="166" t="n"/>
    </row>
    <row r="152">
      <c r="D152" s="173" t="n"/>
      <c r="E152" s="164" t="n"/>
      <c r="F152" s="164" t="n"/>
      <c r="G152" s="164" t="n"/>
      <c r="H152" s="164" t="n"/>
      <c r="I152" s="169" t="n"/>
      <c r="J152" s="166" t="n"/>
      <c r="K152" s="166" t="n"/>
      <c r="L152" s="166" t="n"/>
    </row>
    <row r="153">
      <c r="D153" s="173" t="n"/>
      <c r="E153" s="164" t="n"/>
      <c r="F153" s="164" t="n"/>
      <c r="G153" s="164" t="n"/>
      <c r="H153" s="164" t="n"/>
      <c r="I153" s="169" t="n"/>
      <c r="J153" s="166" t="n"/>
      <c r="K153" s="166" t="n"/>
      <c r="L153" s="166" t="n"/>
    </row>
    <row r="154">
      <c r="D154" s="173" t="n"/>
      <c r="E154" s="164" t="n"/>
      <c r="F154" s="164" t="n"/>
      <c r="G154" s="164" t="n"/>
      <c r="H154" s="164" t="n"/>
      <c r="I154" s="169" t="n"/>
      <c r="J154" s="166" t="n"/>
      <c r="K154" s="166" t="n"/>
      <c r="L154" s="166" t="n"/>
    </row>
    <row r="155">
      <c r="D155" s="173" t="n"/>
      <c r="E155" s="164" t="n"/>
      <c r="F155" s="164" t="n"/>
      <c r="G155" s="164" t="n"/>
      <c r="H155" s="164" t="n"/>
      <c r="I155" s="169" t="n"/>
      <c r="J155" s="166" t="n"/>
      <c r="K155" s="166" t="n"/>
      <c r="L155" s="166" t="n"/>
    </row>
    <row r="156">
      <c r="D156" s="173" t="n"/>
      <c r="E156" s="164" t="n"/>
      <c r="F156" s="164" t="n"/>
      <c r="G156" s="164" t="n"/>
      <c r="H156" s="164" t="n"/>
      <c r="I156" s="169" t="n"/>
      <c r="J156" s="166" t="n"/>
      <c r="K156" s="166" t="n"/>
      <c r="L156" s="166" t="n"/>
    </row>
    <row r="157">
      <c r="D157" s="173" t="n"/>
      <c r="E157" s="164" t="n"/>
      <c r="F157" s="164" t="n"/>
      <c r="G157" s="164" t="n"/>
      <c r="H157" s="164" t="n"/>
      <c r="I157" s="169" t="n"/>
      <c r="J157" s="166" t="n"/>
      <c r="K157" s="166" t="n"/>
      <c r="L157" s="166" t="n"/>
    </row>
    <row r="158">
      <c r="D158" s="173" t="n"/>
      <c r="E158" s="164" t="n"/>
      <c r="F158" s="164" t="n"/>
      <c r="G158" s="164" t="n"/>
      <c r="H158" s="164" t="n"/>
      <c r="I158" s="169" t="n"/>
      <c r="J158" s="166" t="n"/>
      <c r="K158" s="166" t="n"/>
      <c r="L158" s="166" t="n"/>
    </row>
    <row r="159">
      <c r="D159" s="173" t="n"/>
      <c r="E159" s="164" t="n"/>
      <c r="F159" s="164" t="n"/>
      <c r="G159" s="164" t="n"/>
      <c r="H159" s="164" t="n"/>
      <c r="I159" s="169" t="n"/>
      <c r="J159" s="166" t="n"/>
      <c r="K159" s="166" t="n"/>
      <c r="L159" s="166" t="n"/>
    </row>
    <row r="160">
      <c r="D160" s="173" t="n"/>
      <c r="E160" s="164" t="n"/>
      <c r="F160" s="164" t="n"/>
      <c r="G160" s="164" t="n"/>
      <c r="H160" s="164" t="n"/>
      <c r="I160" s="169" t="n"/>
      <c r="J160" s="166" t="n"/>
      <c r="K160" s="166" t="n"/>
      <c r="L160" s="166" t="n"/>
    </row>
    <row r="161">
      <c r="D161" s="173" t="n"/>
      <c r="E161" s="164" t="n"/>
      <c r="F161" s="164" t="n"/>
      <c r="G161" s="164" t="n"/>
      <c r="H161" s="164" t="n"/>
      <c r="I161" s="169" t="n"/>
      <c r="J161" s="166" t="n"/>
      <c r="K161" s="166" t="n"/>
      <c r="L161" s="166" t="n"/>
    </row>
    <row r="162">
      <c r="D162" s="173" t="n"/>
      <c r="E162" s="164" t="n"/>
      <c r="F162" s="164" t="n"/>
      <c r="G162" s="164" t="n"/>
      <c r="H162" s="164" t="n"/>
      <c r="I162" s="169" t="n"/>
      <c r="J162" s="166" t="n"/>
      <c r="K162" s="166" t="n"/>
      <c r="L162" s="166" t="n"/>
    </row>
    <row r="163">
      <c r="D163" s="173" t="n"/>
      <c r="E163" s="164" t="n"/>
      <c r="F163" s="164" t="n"/>
      <c r="G163" s="164" t="n"/>
      <c r="H163" s="164" t="n"/>
      <c r="I163" s="169" t="n"/>
      <c r="J163" s="166" t="n"/>
      <c r="K163" s="166" t="n"/>
      <c r="L163" s="166" t="n"/>
    </row>
    <row r="164">
      <c r="D164" s="173" t="n"/>
      <c r="E164" s="164" t="n"/>
      <c r="F164" s="164" t="n"/>
      <c r="G164" s="164" t="n"/>
      <c r="H164" s="164" t="n"/>
      <c r="I164" s="169" t="n"/>
      <c r="J164" s="166" t="n"/>
      <c r="K164" s="166" t="n"/>
      <c r="L164" s="166" t="n"/>
    </row>
    <row r="165">
      <c r="D165" s="173" t="n"/>
      <c r="E165" s="164" t="n"/>
      <c r="F165" s="164" t="n"/>
      <c r="G165" s="164" t="n"/>
      <c r="H165" s="164" t="n"/>
      <c r="I165" s="169" t="n"/>
      <c r="J165" s="166" t="n"/>
      <c r="K165" s="166" t="n"/>
      <c r="L165" s="166" t="n"/>
    </row>
    <row r="166">
      <c r="D166" s="173" t="n"/>
      <c r="E166" s="164" t="n"/>
      <c r="F166" s="164" t="n"/>
      <c r="G166" s="164" t="n"/>
      <c r="H166" s="164" t="n"/>
      <c r="I166" s="169" t="n"/>
      <c r="J166" s="166" t="n"/>
      <c r="K166" s="166" t="n"/>
      <c r="L166" s="166" t="n"/>
    </row>
    <row r="167">
      <c r="D167" s="173" t="n"/>
      <c r="E167" s="164" t="n"/>
      <c r="F167" s="164" t="n"/>
      <c r="G167" s="164" t="n"/>
      <c r="H167" s="164" t="n"/>
      <c r="I167" s="169" t="n"/>
      <c r="J167" s="166" t="n"/>
      <c r="K167" s="166" t="n"/>
      <c r="L167" s="166" t="n"/>
    </row>
    <row r="168">
      <c r="D168" s="173" t="n"/>
      <c r="E168" s="164" t="n"/>
      <c r="F168" s="164" t="n"/>
      <c r="G168" s="164" t="n"/>
      <c r="H168" s="164" t="n"/>
      <c r="I168" s="169" t="n"/>
      <c r="J168" s="166" t="n"/>
      <c r="K168" s="166" t="n"/>
      <c r="L168" s="166" t="n"/>
    </row>
    <row r="169">
      <c r="D169" s="173" t="n"/>
      <c r="E169" s="164" t="n"/>
      <c r="F169" s="164" t="n"/>
      <c r="G169" s="164" t="n"/>
      <c r="H169" s="164" t="n"/>
      <c r="I169" s="169" t="n"/>
      <c r="J169" s="166" t="n"/>
      <c r="K169" s="166" t="n"/>
      <c r="L169" s="166" t="n"/>
    </row>
    <row r="170">
      <c r="D170" s="173" t="n"/>
      <c r="E170" s="164" t="n"/>
      <c r="F170" s="164" t="n"/>
      <c r="G170" s="164" t="n"/>
      <c r="H170" s="164" t="n"/>
      <c r="I170" s="169" t="n"/>
      <c r="J170" s="166" t="n"/>
      <c r="K170" s="166" t="n"/>
      <c r="L170" s="166" t="n"/>
    </row>
    <row r="171">
      <c r="D171" s="173" t="n"/>
      <c r="E171" s="164" t="n"/>
      <c r="F171" s="164" t="n"/>
      <c r="G171" s="164" t="n"/>
      <c r="H171" s="164" t="n"/>
      <c r="I171" s="169" t="n"/>
      <c r="J171" s="166" t="n"/>
      <c r="K171" s="166" t="n"/>
      <c r="L171" s="166" t="n"/>
    </row>
    <row r="172">
      <c r="D172" s="173" t="n"/>
      <c r="E172" s="164" t="n"/>
      <c r="F172" s="164" t="n"/>
      <c r="G172" s="164" t="n"/>
      <c r="H172" s="164" t="n"/>
      <c r="I172" s="169" t="n"/>
      <c r="J172" s="166" t="n"/>
      <c r="K172" s="166" t="n"/>
      <c r="L172" s="166" t="n"/>
    </row>
    <row r="173">
      <c r="D173" s="173" t="n"/>
      <c r="E173" s="164" t="n"/>
      <c r="F173" s="164" t="n"/>
      <c r="G173" s="164" t="n"/>
      <c r="H173" s="164" t="n"/>
      <c r="I173" s="169" t="n"/>
      <c r="J173" s="166" t="n"/>
      <c r="K173" s="166" t="n"/>
      <c r="L173" s="166" t="n"/>
    </row>
    <row r="174">
      <c r="D174" s="173" t="n"/>
      <c r="E174" s="164" t="n"/>
      <c r="F174" s="164" t="n"/>
      <c r="G174" s="164" t="n"/>
      <c r="H174" s="164" t="n"/>
      <c r="I174" s="169" t="n"/>
      <c r="J174" s="166" t="n"/>
      <c r="K174" s="166" t="n"/>
      <c r="L174" s="166" t="n"/>
    </row>
    <row r="175">
      <c r="D175" s="173" t="n"/>
      <c r="E175" s="164" t="n"/>
      <c r="F175" s="164" t="n"/>
      <c r="G175" s="164" t="n"/>
      <c r="H175" s="164" t="n"/>
      <c r="I175" s="169" t="n"/>
      <c r="J175" s="166" t="n"/>
      <c r="K175" s="166" t="n"/>
      <c r="L175" s="166" t="n"/>
    </row>
    <row r="176">
      <c r="D176" s="173" t="n"/>
      <c r="E176" s="164" t="n"/>
      <c r="F176" s="164" t="n"/>
      <c r="G176" s="164" t="n"/>
      <c r="H176" s="164" t="n"/>
      <c r="I176" s="169" t="n"/>
      <c r="J176" s="166" t="n"/>
      <c r="K176" s="166" t="n"/>
      <c r="L176" s="166" t="n"/>
    </row>
    <row r="177">
      <c r="D177" s="173" t="n"/>
      <c r="E177" s="164" t="n"/>
      <c r="F177" s="164" t="n"/>
      <c r="G177" s="164" t="n"/>
      <c r="H177" s="164" t="n"/>
      <c r="I177" s="169" t="n"/>
      <c r="J177" s="166" t="n"/>
      <c r="K177" s="166" t="n"/>
      <c r="L177" s="166" t="n"/>
    </row>
    <row r="178">
      <c r="D178" s="173" t="n"/>
      <c r="E178" s="164" t="n"/>
      <c r="F178" s="164" t="n"/>
      <c r="G178" s="164" t="n"/>
      <c r="H178" s="164" t="n"/>
      <c r="I178" s="169" t="n"/>
      <c r="J178" s="166" t="n"/>
      <c r="K178" s="166" t="n"/>
      <c r="L178" s="166" t="n"/>
    </row>
    <row r="179">
      <c r="D179" s="173" t="n"/>
      <c r="E179" s="164" t="n"/>
      <c r="F179" s="164" t="n"/>
      <c r="G179" s="164" t="n"/>
      <c r="H179" s="164" t="n"/>
      <c r="I179" s="169" t="n"/>
      <c r="J179" s="166" t="n"/>
      <c r="K179" s="166" t="n"/>
      <c r="L179" s="166" t="n"/>
    </row>
    <row r="180">
      <c r="D180" s="173" t="n"/>
      <c r="E180" s="164" t="n"/>
      <c r="F180" s="164" t="n"/>
      <c r="G180" s="164" t="n"/>
      <c r="H180" s="164" t="n"/>
      <c r="I180" s="169" t="n"/>
      <c r="J180" s="166" t="n"/>
      <c r="K180" s="166" t="n"/>
      <c r="L180" s="166" t="n"/>
    </row>
    <row r="181">
      <c r="D181" s="173" t="n"/>
      <c r="E181" s="164" t="n"/>
      <c r="F181" s="164" t="n"/>
      <c r="G181" s="164" t="n"/>
      <c r="H181" s="164" t="n"/>
      <c r="I181" s="169" t="n"/>
      <c r="J181" s="166" t="n"/>
      <c r="K181" s="166" t="n"/>
      <c r="L181" s="166" t="n"/>
    </row>
    <row r="182">
      <c r="D182" s="173" t="n"/>
      <c r="E182" s="164" t="n"/>
      <c r="F182" s="164" t="n"/>
      <c r="G182" s="164" t="n"/>
      <c r="H182" s="164" t="n"/>
      <c r="I182" s="169" t="n"/>
      <c r="J182" s="166" t="n"/>
      <c r="K182" s="166" t="n"/>
      <c r="L182" s="166" t="n"/>
    </row>
    <row r="183">
      <c r="D183" s="173" t="n"/>
      <c r="E183" s="164" t="n"/>
      <c r="F183" s="164" t="n"/>
      <c r="G183" s="164" t="n"/>
      <c r="H183" s="164" t="n"/>
      <c r="I183" s="169" t="n"/>
      <c r="J183" s="166" t="n"/>
      <c r="K183" s="166" t="n"/>
      <c r="L183" s="166" t="n"/>
    </row>
    <row r="184">
      <c r="D184" s="173" t="n"/>
      <c r="E184" s="164" t="n"/>
      <c r="F184" s="164" t="n"/>
      <c r="G184" s="164" t="n"/>
      <c r="H184" s="164" t="n"/>
      <c r="I184" s="169" t="n"/>
      <c r="J184" s="166" t="n"/>
      <c r="K184" s="166" t="n"/>
      <c r="L184" s="166" t="n"/>
    </row>
    <row r="185">
      <c r="D185" s="173" t="n"/>
      <c r="E185" s="164" t="n"/>
      <c r="F185" s="164" t="n"/>
      <c r="G185" s="164" t="n"/>
      <c r="H185" s="164" t="n"/>
      <c r="I185" s="169" t="n"/>
      <c r="J185" s="166" t="n"/>
      <c r="K185" s="166" t="n"/>
      <c r="L185" s="166" t="n"/>
    </row>
    <row r="186">
      <c r="D186" s="173" t="n"/>
      <c r="E186" s="164" t="n"/>
      <c r="F186" s="164" t="n"/>
      <c r="G186" s="164" t="n"/>
      <c r="H186" s="164" t="n"/>
      <c r="I186" s="169" t="n"/>
      <c r="J186" s="166" t="n"/>
      <c r="K186" s="166" t="n"/>
      <c r="L186" s="166" t="n"/>
    </row>
    <row r="187">
      <c r="D187" s="173" t="n"/>
      <c r="E187" s="164" t="n"/>
      <c r="F187" s="164" t="n"/>
      <c r="G187" s="164" t="n"/>
      <c r="H187" s="164" t="n"/>
      <c r="I187" s="169" t="n"/>
      <c r="J187" s="166" t="n"/>
      <c r="K187" s="166" t="n"/>
      <c r="L187" s="166" t="n"/>
    </row>
    <row r="188">
      <c r="D188" s="173" t="n"/>
      <c r="E188" s="164" t="n"/>
      <c r="F188" s="164" t="n"/>
      <c r="G188" s="164" t="n"/>
      <c r="H188" s="164" t="n"/>
      <c r="I188" s="169" t="n"/>
      <c r="J188" s="166" t="n"/>
      <c r="K188" s="166" t="n"/>
      <c r="L188" s="166" t="n"/>
    </row>
    <row r="189">
      <c r="D189" s="173" t="n"/>
      <c r="E189" s="164" t="n"/>
      <c r="F189" s="164" t="n"/>
      <c r="G189" s="164" t="n"/>
      <c r="H189" s="164" t="n"/>
      <c r="I189" s="169" t="n"/>
      <c r="J189" s="166" t="n"/>
      <c r="K189" s="166" t="n"/>
      <c r="L189" s="166" t="n"/>
    </row>
    <row r="190">
      <c r="D190" s="173" t="n"/>
      <c r="E190" s="164" t="n"/>
      <c r="F190" s="164" t="n"/>
      <c r="G190" s="164" t="n"/>
      <c r="H190" s="164" t="n"/>
      <c r="I190" s="169" t="n"/>
      <c r="J190" s="166" t="n"/>
      <c r="K190" s="166" t="n"/>
      <c r="L190" s="166" t="n"/>
    </row>
    <row r="191">
      <c r="D191" s="173" t="n"/>
      <c r="E191" s="164" t="n"/>
      <c r="F191" s="164" t="n"/>
      <c r="G191" s="164" t="n"/>
      <c r="H191" s="164" t="n"/>
      <c r="I191" s="169" t="n"/>
      <c r="J191" s="166" t="n"/>
      <c r="K191" s="166" t="n"/>
      <c r="L191" s="166" t="n"/>
    </row>
    <row r="192">
      <c r="D192" s="173" t="n"/>
      <c r="E192" s="164" t="n"/>
      <c r="F192" s="164" t="n"/>
      <c r="G192" s="164" t="n"/>
      <c r="H192" s="164" t="n"/>
      <c r="I192" s="169" t="n"/>
      <c r="J192" s="166" t="n"/>
      <c r="K192" s="166" t="n"/>
      <c r="L192" s="166" t="n"/>
    </row>
    <row r="193">
      <c r="D193" s="173" t="n"/>
      <c r="E193" s="164" t="n"/>
      <c r="F193" s="164" t="n"/>
      <c r="G193" s="164" t="n"/>
      <c r="H193" s="164" t="n"/>
      <c r="I193" s="169" t="n"/>
      <c r="J193" s="166" t="n"/>
      <c r="K193" s="166" t="n"/>
      <c r="L193" s="166" t="n"/>
    </row>
    <row r="194">
      <c r="D194" s="173" t="n"/>
      <c r="E194" s="164" t="n"/>
      <c r="F194" s="164" t="n"/>
      <c r="G194" s="164" t="n"/>
      <c r="H194" s="164" t="n"/>
      <c r="I194" s="169" t="n"/>
      <c r="J194" s="166" t="n"/>
      <c r="K194" s="166" t="n"/>
      <c r="L194" s="166" t="n"/>
    </row>
    <row r="195">
      <c r="D195" s="173" t="n"/>
      <c r="E195" s="164" t="n"/>
      <c r="F195" s="164" t="n"/>
      <c r="G195" s="164" t="n"/>
      <c r="H195" s="164" t="n"/>
      <c r="I195" s="169" t="n"/>
      <c r="J195" s="166" t="n"/>
      <c r="K195" s="166" t="n"/>
      <c r="L195" s="166" t="n"/>
    </row>
    <row r="196">
      <c r="D196" s="173" t="n"/>
      <c r="E196" s="164" t="n"/>
      <c r="F196" s="164" t="n"/>
      <c r="G196" s="164" t="n"/>
      <c r="H196" s="164" t="n"/>
      <c r="I196" s="169" t="n"/>
      <c r="J196" s="166" t="n"/>
      <c r="K196" s="166" t="n"/>
      <c r="L196" s="166" t="n"/>
    </row>
    <row r="197">
      <c r="D197" s="173" t="n"/>
      <c r="E197" s="164" t="n"/>
      <c r="F197" s="164" t="n"/>
      <c r="G197" s="164" t="n"/>
      <c r="H197" s="164" t="n"/>
      <c r="I197" s="169" t="n"/>
      <c r="J197" s="166" t="n"/>
      <c r="K197" s="166" t="n"/>
      <c r="L197" s="166" t="n"/>
    </row>
    <row r="198">
      <c r="D198" s="173" t="n"/>
      <c r="E198" s="164" t="n"/>
      <c r="F198" s="164" t="n"/>
      <c r="G198" s="164" t="n"/>
      <c r="H198" s="164" t="n"/>
      <c r="I198" s="169" t="n"/>
      <c r="J198" s="166" t="n"/>
      <c r="K198" s="166" t="n"/>
      <c r="L198" s="166" t="n"/>
    </row>
    <row r="199">
      <c r="D199" s="173" t="n"/>
      <c r="E199" s="164" t="n"/>
      <c r="F199" s="164" t="n"/>
      <c r="G199" s="164" t="n"/>
      <c r="H199" s="164" t="n"/>
      <c r="I199" s="169" t="n"/>
      <c r="J199" s="166" t="n"/>
      <c r="K199" s="166" t="n"/>
      <c r="L199" s="166" t="n"/>
    </row>
    <row r="200">
      <c r="D200" s="173" t="n"/>
      <c r="E200" s="164" t="n"/>
      <c r="F200" s="164" t="n"/>
      <c r="G200" s="164" t="n"/>
      <c r="H200" s="164" t="n"/>
      <c r="I200" s="169" t="n"/>
      <c r="J200" s="166" t="n"/>
      <c r="K200" s="166" t="n"/>
      <c r="L200" s="166" t="n"/>
    </row>
    <row r="201">
      <c r="D201" s="173" t="n"/>
      <c r="E201" s="164" t="n"/>
      <c r="F201" s="164" t="n"/>
      <c r="G201" s="164" t="n"/>
      <c r="H201" s="164" t="n"/>
      <c r="I201" s="169" t="n"/>
      <c r="J201" s="166" t="n"/>
      <c r="K201" s="166" t="n"/>
      <c r="L201" s="166" t="n"/>
    </row>
    <row r="202">
      <c r="D202" s="173" t="n"/>
      <c r="E202" s="164" t="n"/>
      <c r="F202" s="164" t="n"/>
      <c r="G202" s="164" t="n"/>
      <c r="H202" s="164" t="n"/>
      <c r="I202" s="169" t="n"/>
      <c r="J202" s="166" t="n"/>
      <c r="K202" s="166" t="n"/>
      <c r="L202" s="166" t="n"/>
    </row>
    <row r="203">
      <c r="D203" s="173" t="n"/>
      <c r="E203" s="164" t="n"/>
      <c r="F203" s="164" t="n"/>
      <c r="G203" s="164" t="n"/>
      <c r="H203" s="164" t="n"/>
      <c r="I203" s="169" t="n"/>
      <c r="J203" s="166" t="n"/>
      <c r="K203" s="166" t="n"/>
      <c r="L203" s="166" t="n"/>
    </row>
    <row r="204">
      <c r="D204" s="173" t="n"/>
      <c r="E204" s="164" t="n"/>
      <c r="F204" s="164" t="n"/>
      <c r="G204" s="164" t="n"/>
      <c r="H204" s="164" t="n"/>
      <c r="I204" s="169" t="n"/>
      <c r="J204" s="166" t="n"/>
      <c r="K204" s="166" t="n"/>
      <c r="L204" s="166" t="n"/>
    </row>
    <row r="205">
      <c r="D205" s="173" t="n"/>
      <c r="E205" s="164" t="n"/>
      <c r="F205" s="164" t="n"/>
      <c r="G205" s="164" t="n"/>
      <c r="H205" s="164" t="n"/>
      <c r="I205" s="169" t="n"/>
      <c r="J205" s="166" t="n"/>
      <c r="K205" s="166" t="n"/>
      <c r="L205" s="166" t="n"/>
    </row>
    <row r="206">
      <c r="D206" s="173" t="n"/>
      <c r="E206" s="164" t="n"/>
      <c r="F206" s="164" t="n"/>
      <c r="G206" s="164" t="n"/>
      <c r="H206" s="164" t="n"/>
      <c r="I206" s="169" t="n"/>
      <c r="J206" s="166" t="n"/>
      <c r="K206" s="166" t="n"/>
      <c r="L206" s="166" t="n"/>
    </row>
    <row r="207">
      <c r="D207" s="173" t="n"/>
      <c r="E207" s="164" t="n"/>
      <c r="F207" s="164" t="n"/>
      <c r="G207" s="164" t="n"/>
      <c r="H207" s="164" t="n"/>
      <c r="I207" s="169" t="n"/>
      <c r="J207" s="166" t="n"/>
      <c r="K207" s="166" t="n"/>
      <c r="L207" s="166" t="n"/>
    </row>
    <row r="208">
      <c r="D208" s="173" t="n"/>
      <c r="E208" s="164" t="n"/>
      <c r="F208" s="164" t="n"/>
      <c r="G208" s="164" t="n"/>
      <c r="H208" s="164" t="n"/>
      <c r="I208" s="169" t="n"/>
      <c r="J208" s="166" t="n"/>
      <c r="K208" s="166" t="n"/>
      <c r="L208" s="166" t="n"/>
    </row>
    <row r="209">
      <c r="D209" s="173" t="n"/>
      <c r="E209" s="164" t="n"/>
      <c r="F209" s="164" t="n"/>
      <c r="G209" s="164" t="n"/>
      <c r="H209" s="164" t="n"/>
      <c r="I209" s="169" t="n"/>
      <c r="J209" s="166" t="n"/>
      <c r="K209" s="166" t="n"/>
      <c r="L209" s="166" t="n"/>
    </row>
    <row r="210">
      <c r="D210" s="173" t="n"/>
      <c r="E210" s="164" t="n"/>
      <c r="F210" s="164" t="n"/>
      <c r="G210" s="164" t="n"/>
      <c r="H210" s="164" t="n"/>
      <c r="I210" s="169" t="n"/>
      <c r="J210" s="166" t="n"/>
      <c r="K210" s="166" t="n"/>
      <c r="L210" s="166" t="n"/>
    </row>
    <row r="211">
      <c r="D211" s="173" t="n"/>
      <c r="E211" s="164" t="n"/>
      <c r="F211" s="164" t="n"/>
      <c r="G211" s="164" t="n"/>
      <c r="H211" s="164" t="n"/>
      <c r="I211" s="169" t="n"/>
      <c r="J211" s="166" t="n"/>
      <c r="K211" s="166" t="n"/>
      <c r="L211" s="166" t="n"/>
    </row>
    <row r="212">
      <c r="D212" s="173" t="n"/>
      <c r="E212" s="164" t="n"/>
      <c r="F212" s="164" t="n"/>
      <c r="G212" s="164" t="n"/>
      <c r="H212" s="164" t="n"/>
      <c r="I212" s="169" t="n"/>
      <c r="J212" s="166" t="n"/>
      <c r="K212" s="166" t="n"/>
      <c r="L212" s="166" t="n"/>
    </row>
    <row r="213">
      <c r="D213" s="173" t="n"/>
      <c r="E213" s="164" t="n"/>
      <c r="F213" s="164" t="n"/>
      <c r="G213" s="164" t="n"/>
      <c r="H213" s="164" t="n"/>
      <c r="I213" s="169" t="n"/>
      <c r="J213" s="166" t="n"/>
      <c r="K213" s="166" t="n"/>
      <c r="L213" s="166" t="n"/>
    </row>
    <row r="214">
      <c r="D214" s="173" t="n"/>
      <c r="E214" s="164" t="n"/>
      <c r="F214" s="164" t="n"/>
      <c r="G214" s="164" t="n"/>
      <c r="H214" s="164" t="n"/>
      <c r="I214" s="169" t="n"/>
      <c r="J214" s="166" t="n"/>
      <c r="K214" s="166" t="n"/>
      <c r="L214" s="166" t="n"/>
    </row>
    <row r="215">
      <c r="D215" s="173" t="n"/>
      <c r="E215" s="164" t="n"/>
      <c r="F215" s="164" t="n"/>
      <c r="G215" s="164" t="n"/>
      <c r="H215" s="164" t="n"/>
      <c r="I215" s="169" t="n"/>
      <c r="J215" s="166" t="n"/>
      <c r="K215" s="166" t="n"/>
      <c r="L215" s="166" t="n"/>
    </row>
    <row r="216">
      <c r="D216" s="173" t="n"/>
      <c r="E216" s="164" t="n"/>
      <c r="F216" s="164" t="n"/>
      <c r="G216" s="164" t="n"/>
      <c r="H216" s="164" t="n"/>
      <c r="I216" s="169" t="n"/>
      <c r="J216" s="166" t="n"/>
      <c r="K216" s="166" t="n"/>
      <c r="L216" s="166" t="n"/>
    </row>
    <row r="217">
      <c r="D217" s="173" t="n"/>
      <c r="E217" s="164" t="n"/>
      <c r="F217" s="164" t="n"/>
      <c r="G217" s="164" t="n"/>
      <c r="H217" s="164" t="n"/>
      <c r="I217" s="169" t="n"/>
      <c r="J217" s="166" t="n"/>
      <c r="K217" s="166" t="n"/>
      <c r="L217" s="166" t="n"/>
    </row>
    <row r="218">
      <c r="D218" s="173" t="n"/>
      <c r="E218" s="164" t="n"/>
      <c r="F218" s="164" t="n"/>
      <c r="G218" s="164" t="n"/>
      <c r="H218" s="164" t="n"/>
      <c r="I218" s="169" t="n"/>
      <c r="J218" s="166" t="n"/>
      <c r="K218" s="166" t="n"/>
      <c r="L218" s="166" t="n"/>
    </row>
    <row r="219">
      <c r="D219" s="173" t="n"/>
      <c r="E219" s="164" t="n"/>
      <c r="F219" s="164" t="n"/>
      <c r="G219" s="164" t="n"/>
      <c r="H219" s="164" t="n"/>
      <c r="I219" s="169" t="n"/>
      <c r="J219" s="166" t="n"/>
      <c r="K219" s="166" t="n"/>
      <c r="L219" s="166" t="n"/>
    </row>
    <row r="220">
      <c r="D220" s="173" t="n"/>
      <c r="E220" s="164" t="n"/>
      <c r="F220" s="164" t="n"/>
      <c r="G220" s="164" t="n"/>
      <c r="H220" s="164" t="n"/>
      <c r="I220" s="169" t="n"/>
      <c r="J220" s="166" t="n"/>
      <c r="K220" s="166" t="n"/>
      <c r="L220" s="166" t="n"/>
    </row>
    <row r="221">
      <c r="D221" s="173" t="n"/>
      <c r="E221" s="164" t="n"/>
      <c r="F221" s="164" t="n"/>
      <c r="G221" s="164" t="n"/>
      <c r="H221" s="164" t="n"/>
      <c r="I221" s="169" t="n"/>
      <c r="J221" s="166" t="n"/>
      <c r="K221" s="166" t="n"/>
      <c r="L221" s="166" t="n"/>
    </row>
    <row r="222">
      <c r="D222" s="173" t="n"/>
      <c r="E222" s="164" t="n"/>
      <c r="F222" s="164" t="n"/>
      <c r="G222" s="164" t="n"/>
      <c r="H222" s="164" t="n"/>
      <c r="I222" s="169" t="n"/>
      <c r="J222" s="166" t="n"/>
      <c r="K222" s="166" t="n"/>
      <c r="L222" s="166" t="n"/>
    </row>
    <row r="223">
      <c r="D223" s="173" t="n"/>
      <c r="E223" s="164" t="n"/>
      <c r="F223" s="164" t="n"/>
      <c r="G223" s="164" t="n"/>
      <c r="H223" s="164" t="n"/>
      <c r="I223" s="169" t="n"/>
      <c r="J223" s="166" t="n"/>
      <c r="K223" s="166" t="n"/>
      <c r="L223" s="166" t="n"/>
    </row>
    <row r="224">
      <c r="D224" s="173" t="n"/>
      <c r="E224" s="164" t="n"/>
      <c r="F224" s="164" t="n"/>
      <c r="G224" s="164" t="n"/>
      <c r="H224" s="164" t="n"/>
      <c r="I224" s="169" t="n"/>
      <c r="J224" s="166" t="n"/>
      <c r="K224" s="166" t="n"/>
      <c r="L224" s="166" t="n"/>
    </row>
    <row r="225">
      <c r="D225" s="173" t="n"/>
      <c r="E225" s="164" t="n"/>
      <c r="F225" s="164" t="n"/>
      <c r="G225" s="164" t="n"/>
      <c r="H225" s="164" t="n"/>
      <c r="I225" s="169" t="n"/>
      <c r="J225" s="166" t="n"/>
      <c r="K225" s="166" t="n"/>
      <c r="L225" s="166" t="n"/>
    </row>
    <row r="226">
      <c r="D226" s="173" t="n"/>
      <c r="E226" s="164" t="n"/>
      <c r="F226" s="164" t="n"/>
      <c r="G226" s="164" t="n"/>
      <c r="H226" s="164" t="n"/>
      <c r="I226" s="169" t="n"/>
      <c r="J226" s="166" t="n"/>
      <c r="K226" s="166" t="n"/>
      <c r="L226" s="166" t="n"/>
    </row>
    <row r="227">
      <c r="D227" s="173" t="n"/>
      <c r="E227" s="164" t="n"/>
      <c r="F227" s="164" t="n"/>
      <c r="G227" s="164" t="n"/>
      <c r="H227" s="164" t="n"/>
      <c r="I227" s="169" t="n"/>
      <c r="J227" s="166" t="n"/>
      <c r="K227" s="166" t="n"/>
      <c r="L227" s="166" t="n"/>
    </row>
    <row r="228">
      <c r="D228" s="173" t="n"/>
      <c r="E228" s="164" t="n"/>
      <c r="F228" s="164" t="n"/>
      <c r="G228" s="164" t="n"/>
      <c r="H228" s="164" t="n"/>
      <c r="I228" s="169" t="n"/>
      <c r="J228" s="166" t="n"/>
      <c r="K228" s="166" t="n"/>
      <c r="L228" s="166" t="n"/>
    </row>
    <row r="229">
      <c r="D229" s="173" t="n"/>
      <c r="E229" s="164" t="n"/>
      <c r="F229" s="164" t="n"/>
      <c r="G229" s="164" t="n"/>
      <c r="H229" s="164" t="n"/>
      <c r="I229" s="169" t="n"/>
      <c r="J229" s="166" t="n"/>
      <c r="K229" s="166" t="n"/>
      <c r="L229" s="166" t="n"/>
    </row>
    <row r="230">
      <c r="D230" s="173" t="n"/>
      <c r="E230" s="164" t="n"/>
      <c r="F230" s="164" t="n"/>
      <c r="G230" s="164" t="n"/>
      <c r="H230" s="164" t="n"/>
      <c r="I230" s="169" t="n"/>
      <c r="J230" s="166" t="n"/>
      <c r="K230" s="166" t="n"/>
      <c r="L230" s="166" t="n"/>
    </row>
    <row r="231">
      <c r="D231" s="173" t="n"/>
      <c r="E231" s="164" t="n"/>
      <c r="F231" s="164" t="n"/>
      <c r="G231" s="164" t="n"/>
      <c r="H231" s="164" t="n"/>
      <c r="I231" s="169" t="n"/>
      <c r="J231" s="166" t="n"/>
      <c r="K231" s="166" t="n"/>
      <c r="L231" s="166" t="n"/>
    </row>
    <row r="232">
      <c r="D232" s="173" t="n"/>
      <c r="E232" s="164" t="n"/>
      <c r="F232" s="164" t="n"/>
      <c r="G232" s="164" t="n"/>
      <c r="H232" s="164" t="n"/>
      <c r="I232" s="169" t="n"/>
      <c r="J232" s="166" t="n"/>
      <c r="K232" s="166" t="n"/>
      <c r="L232" s="166" t="n"/>
    </row>
    <row r="233">
      <c r="D233" s="173" t="n"/>
      <c r="E233" s="164" t="n"/>
      <c r="F233" s="164" t="n"/>
      <c r="G233" s="164" t="n"/>
      <c r="H233" s="164" t="n"/>
      <c r="I233" s="169" t="n"/>
      <c r="J233" s="166" t="n"/>
      <c r="K233" s="166" t="n"/>
      <c r="L233" s="166" t="n"/>
    </row>
    <row r="234">
      <c r="D234" s="173" t="n"/>
      <c r="E234" s="164" t="n"/>
      <c r="F234" s="164" t="n"/>
      <c r="G234" s="164" t="n"/>
      <c r="H234" s="164" t="n"/>
      <c r="I234" s="169" t="n"/>
      <c r="J234" s="166" t="n"/>
      <c r="K234" s="166" t="n"/>
      <c r="L234" s="166" t="n"/>
    </row>
    <row r="235">
      <c r="D235" s="173" t="n"/>
      <c r="E235" s="164" t="n"/>
      <c r="F235" s="164" t="n"/>
      <c r="G235" s="164" t="n"/>
      <c r="H235" s="164" t="n"/>
      <c r="I235" s="169" t="n"/>
      <c r="J235" s="166" t="n"/>
      <c r="K235" s="166" t="n"/>
      <c r="L235" s="166" t="n"/>
    </row>
    <row r="236">
      <c r="D236" s="173" t="n"/>
      <c r="E236" s="164" t="n"/>
      <c r="F236" s="164" t="n"/>
      <c r="G236" s="164" t="n"/>
      <c r="H236" s="164" t="n"/>
      <c r="I236" s="169" t="n"/>
      <c r="J236" s="166" t="n"/>
      <c r="K236" s="166" t="n"/>
      <c r="L236" s="166" t="n"/>
    </row>
    <row r="237">
      <c r="D237" s="173" t="n"/>
      <c r="E237" s="164" t="n"/>
      <c r="F237" s="164" t="n"/>
      <c r="G237" s="164" t="n"/>
      <c r="H237" s="164" t="n"/>
      <c r="I237" s="169" t="n"/>
      <c r="J237" s="166" t="n"/>
      <c r="K237" s="166" t="n"/>
      <c r="L237" s="166" t="n"/>
    </row>
    <row r="238">
      <c r="D238" s="173" t="n"/>
      <c r="E238" s="164" t="n"/>
      <c r="F238" s="164" t="n"/>
      <c r="G238" s="164" t="n"/>
      <c r="H238" s="164" t="n"/>
      <c r="I238" s="169" t="n"/>
      <c r="J238" s="166" t="n"/>
      <c r="K238" s="166" t="n"/>
      <c r="L238" s="166" t="n"/>
    </row>
    <row r="239">
      <c r="D239" s="173" t="n"/>
      <c r="E239" s="164" t="n"/>
      <c r="F239" s="164" t="n"/>
      <c r="G239" s="164" t="n"/>
      <c r="H239" s="164" t="n"/>
      <c r="I239" s="169" t="n"/>
      <c r="J239" s="166" t="n"/>
      <c r="K239" s="166" t="n"/>
      <c r="L239" s="166" t="n"/>
    </row>
    <row r="240">
      <c r="D240" s="173" t="n"/>
      <c r="E240" s="164" t="n"/>
      <c r="F240" s="164" t="n"/>
      <c r="G240" s="164" t="n"/>
      <c r="H240" s="164" t="n"/>
      <c r="I240" s="169" t="n"/>
      <c r="J240" s="166" t="n"/>
      <c r="K240" s="166" t="n"/>
      <c r="L240" s="166" t="n"/>
    </row>
    <row r="241">
      <c r="D241" s="173" t="n"/>
      <c r="E241" s="164" t="n"/>
      <c r="F241" s="164" t="n"/>
      <c r="G241" s="164" t="n"/>
      <c r="H241" s="164" t="n"/>
      <c r="I241" s="169" t="n"/>
      <c r="J241" s="166" t="n"/>
      <c r="K241" s="166" t="n"/>
      <c r="L241" s="166" t="n"/>
    </row>
    <row r="242">
      <c r="D242" s="173" t="n"/>
      <c r="E242" s="164" t="n"/>
      <c r="F242" s="164" t="n"/>
      <c r="G242" s="164" t="n"/>
      <c r="H242" s="164" t="n"/>
      <c r="I242" s="169" t="n"/>
      <c r="J242" s="166" t="n"/>
      <c r="K242" s="166" t="n"/>
      <c r="L242" s="166" t="n"/>
    </row>
    <row r="243">
      <c r="D243" s="173" t="n"/>
      <c r="E243" s="164" t="n"/>
      <c r="F243" s="164" t="n"/>
      <c r="G243" s="164" t="n"/>
      <c r="H243" s="164" t="n"/>
      <c r="I243" s="169" t="n"/>
      <c r="J243" s="166" t="n"/>
      <c r="K243" s="166" t="n"/>
      <c r="L243" s="166" t="n"/>
    </row>
    <row r="244">
      <c r="D244" s="173" t="n"/>
      <c r="E244" s="164" t="n"/>
      <c r="F244" s="164" t="n"/>
      <c r="G244" s="164" t="n"/>
      <c r="H244" s="164" t="n"/>
      <c r="I244" s="169" t="n"/>
      <c r="J244" s="166" t="n"/>
      <c r="K244" s="166" t="n"/>
      <c r="L244" s="166" t="n"/>
    </row>
    <row r="245">
      <c r="D245" s="173" t="n"/>
      <c r="E245" s="164" t="n"/>
      <c r="F245" s="164" t="n"/>
      <c r="G245" s="164" t="n"/>
      <c r="H245" s="164" t="n"/>
      <c r="I245" s="169" t="n"/>
      <c r="J245" s="166" t="n"/>
      <c r="K245" s="166" t="n"/>
      <c r="L245" s="166" t="n"/>
    </row>
    <row r="246">
      <c r="D246" s="173" t="n"/>
      <c r="E246" s="164" t="n"/>
      <c r="F246" s="164" t="n"/>
      <c r="G246" s="164" t="n"/>
      <c r="H246" s="164" t="n"/>
      <c r="I246" s="169" t="n"/>
      <c r="J246" s="166" t="n"/>
      <c r="K246" s="166" t="n"/>
      <c r="L246" s="166" t="n"/>
    </row>
    <row r="247">
      <c r="D247" s="173" t="n"/>
      <c r="E247" s="164" t="n"/>
      <c r="F247" s="164" t="n"/>
      <c r="G247" s="164" t="n"/>
      <c r="H247" s="164" t="n"/>
      <c r="I247" s="169" t="n"/>
      <c r="J247" s="166" t="n"/>
      <c r="K247" s="166" t="n"/>
      <c r="L247" s="166" t="n"/>
    </row>
    <row r="248">
      <c r="D248" s="173" t="n"/>
      <c r="E248" s="164" t="n"/>
      <c r="F248" s="164" t="n"/>
      <c r="G248" s="164" t="n"/>
      <c r="H248" s="164" t="n"/>
      <c r="I248" s="169" t="n"/>
      <c r="J248" s="166" t="n"/>
      <c r="K248" s="166" t="n"/>
      <c r="L248" s="166" t="n"/>
    </row>
    <row r="249">
      <c r="D249" s="173" t="n"/>
      <c r="E249" s="164" t="n"/>
      <c r="F249" s="164" t="n"/>
      <c r="G249" s="164" t="n"/>
      <c r="H249" s="164" t="n"/>
      <c r="I249" s="169" t="n"/>
      <c r="J249" s="166" t="n"/>
      <c r="K249" s="166" t="n"/>
      <c r="L249" s="166" t="n"/>
    </row>
    <row r="250">
      <c r="D250" s="173" t="n"/>
      <c r="E250" s="164" t="n"/>
      <c r="F250" s="164" t="n"/>
      <c r="G250" s="164" t="n"/>
      <c r="H250" s="164" t="n"/>
      <c r="I250" s="169" t="n"/>
      <c r="J250" s="166" t="n"/>
      <c r="K250" s="166" t="n"/>
      <c r="L250" s="166" t="n"/>
    </row>
    <row r="251">
      <c r="D251" s="173" t="n"/>
      <c r="E251" s="164" t="n"/>
      <c r="F251" s="164" t="n"/>
      <c r="G251" s="164" t="n"/>
      <c r="H251" s="164" t="n"/>
      <c r="I251" s="169" t="n"/>
      <c r="J251" s="166" t="n"/>
      <c r="K251" s="166" t="n"/>
      <c r="L251" s="166" t="n"/>
    </row>
    <row r="252">
      <c r="D252" s="173" t="n"/>
      <c r="E252" s="164" t="n"/>
      <c r="F252" s="164" t="n"/>
      <c r="G252" s="164" t="n"/>
      <c r="H252" s="164" t="n"/>
      <c r="I252" s="169" t="n"/>
      <c r="J252" s="166" t="n"/>
      <c r="K252" s="166" t="n"/>
      <c r="L252" s="166" t="n"/>
    </row>
    <row r="253">
      <c r="D253" s="173" t="n"/>
      <c r="E253" s="164" t="n"/>
      <c r="F253" s="164" t="n"/>
      <c r="G253" s="164" t="n"/>
      <c r="H253" s="164" t="n"/>
      <c r="I253" s="169" t="n"/>
      <c r="J253" s="166" t="n"/>
      <c r="K253" s="166" t="n"/>
      <c r="L253" s="166" t="n"/>
    </row>
    <row r="254">
      <c r="D254" s="173" t="n"/>
      <c r="E254" s="164" t="n"/>
      <c r="F254" s="164" t="n"/>
      <c r="G254" s="164" t="n"/>
      <c r="H254" s="164" t="n"/>
      <c r="I254" s="169" t="n"/>
      <c r="J254" s="166" t="n"/>
      <c r="K254" s="166" t="n"/>
      <c r="L254" s="166" t="n"/>
    </row>
    <row r="255">
      <c r="D255" s="173" t="n"/>
      <c r="E255" s="164" t="n"/>
      <c r="F255" s="164" t="n"/>
      <c r="G255" s="164" t="n"/>
      <c r="H255" s="164" t="n"/>
      <c r="I255" s="169" t="n"/>
      <c r="J255" s="166" t="n"/>
      <c r="K255" s="166" t="n"/>
      <c r="L255" s="166" t="n"/>
    </row>
    <row r="256">
      <c r="D256" s="173" t="n"/>
      <c r="E256" s="164" t="n"/>
      <c r="F256" s="164" t="n"/>
      <c r="G256" s="164" t="n"/>
      <c r="H256" s="164" t="n"/>
      <c r="I256" s="169" t="n"/>
      <c r="J256" s="166" t="n"/>
      <c r="K256" s="166" t="n"/>
      <c r="L256" s="166" t="n"/>
    </row>
    <row r="257">
      <c r="D257" s="173" t="n"/>
      <c r="E257" s="164" t="n"/>
      <c r="F257" s="164" t="n"/>
      <c r="G257" s="164" t="n"/>
      <c r="H257" s="164" t="n"/>
      <c r="I257" s="169" t="n"/>
      <c r="J257" s="166" t="n"/>
      <c r="K257" s="166" t="n"/>
      <c r="L257" s="166" t="n"/>
    </row>
    <row r="258">
      <c r="D258" s="173" t="n"/>
      <c r="E258" s="164" t="n"/>
      <c r="F258" s="164" t="n"/>
      <c r="G258" s="164" t="n"/>
      <c r="H258" s="164" t="n"/>
      <c r="I258" s="169" t="n"/>
      <c r="J258" s="166" t="n"/>
      <c r="K258" s="166" t="n"/>
      <c r="L258" s="166" t="n"/>
    </row>
    <row r="259">
      <c r="D259" s="173" t="n"/>
      <c r="E259" s="164" t="n"/>
      <c r="F259" s="164" t="n"/>
      <c r="G259" s="164" t="n"/>
      <c r="H259" s="164" t="n"/>
      <c r="I259" s="169" t="n"/>
      <c r="J259" s="166" t="n"/>
      <c r="K259" s="166" t="n"/>
      <c r="L259" s="166" t="n"/>
    </row>
    <row r="260">
      <c r="D260" s="173" t="n"/>
      <c r="E260" s="164" t="n"/>
      <c r="F260" s="164" t="n"/>
      <c r="G260" s="164" t="n"/>
      <c r="H260" s="164" t="n"/>
      <c r="I260" s="169" t="n"/>
      <c r="J260" s="166" t="n"/>
      <c r="K260" s="166" t="n"/>
      <c r="L260" s="166" t="n"/>
    </row>
    <row r="261">
      <c r="D261" s="173" t="n"/>
      <c r="E261" s="164" t="n"/>
      <c r="F261" s="164" t="n"/>
      <c r="G261" s="164" t="n"/>
      <c r="H261" s="164" t="n"/>
      <c r="I261" s="169" t="n"/>
      <c r="J261" s="166" t="n"/>
      <c r="K261" s="166" t="n"/>
      <c r="L261" s="166" t="n"/>
    </row>
    <row r="262">
      <c r="D262" s="173" t="n"/>
      <c r="E262" s="164" t="n"/>
      <c r="F262" s="164" t="n"/>
      <c r="G262" s="164" t="n"/>
      <c r="H262" s="164" t="n"/>
      <c r="I262" s="169" t="n"/>
      <c r="J262" s="166" t="n"/>
      <c r="K262" s="166" t="n"/>
      <c r="L262" s="166" t="n"/>
    </row>
    <row r="263">
      <c r="D263" s="173" t="n"/>
      <c r="E263" s="164" t="n"/>
      <c r="F263" s="164" t="n"/>
      <c r="G263" s="164" t="n"/>
      <c r="H263" s="164" t="n"/>
      <c r="I263" s="169" t="n"/>
      <c r="J263" s="166" t="n"/>
      <c r="K263" s="166" t="n"/>
      <c r="L263" s="166" t="n"/>
    </row>
    <row r="264">
      <c r="D264" s="173" t="n"/>
      <c r="E264" s="164" t="n"/>
      <c r="F264" s="164" t="n"/>
      <c r="G264" s="164" t="n"/>
      <c r="H264" s="164" t="n"/>
      <c r="I264" s="169" t="n"/>
      <c r="J264" s="166" t="n"/>
      <c r="K264" s="166" t="n"/>
      <c r="L264" s="166" t="n"/>
    </row>
    <row r="265">
      <c r="D265" s="173" t="n"/>
      <c r="E265" s="164" t="n"/>
      <c r="F265" s="164" t="n"/>
      <c r="G265" s="164" t="n"/>
      <c r="H265" s="164" t="n"/>
      <c r="I265" s="169" t="n"/>
      <c r="J265" s="166" t="n"/>
      <c r="K265" s="166" t="n"/>
      <c r="L265" s="166" t="n"/>
    </row>
    <row r="266">
      <c r="D266" s="173" t="n"/>
      <c r="E266" s="164" t="n"/>
      <c r="F266" s="164" t="n"/>
      <c r="G266" s="164" t="n"/>
      <c r="H266" s="164" t="n"/>
      <c r="I266" s="169" t="n"/>
      <c r="J266" s="166" t="n"/>
      <c r="K266" s="166" t="n"/>
      <c r="L266" s="166" t="n"/>
    </row>
    <row r="267">
      <c r="D267" s="173" t="n"/>
      <c r="E267" s="164" t="n"/>
      <c r="F267" s="164" t="n"/>
      <c r="G267" s="164" t="n"/>
      <c r="H267" s="164" t="n"/>
      <c r="I267" s="169" t="n"/>
      <c r="J267" s="166" t="n"/>
      <c r="K267" s="166" t="n"/>
      <c r="L267" s="166" t="n"/>
    </row>
    <row r="268">
      <c r="D268" s="173" t="n"/>
      <c r="E268" s="164" t="n"/>
      <c r="F268" s="164" t="n"/>
      <c r="G268" s="164" t="n"/>
      <c r="H268" s="164" t="n"/>
      <c r="I268" s="169" t="n"/>
      <c r="J268" s="166" t="n"/>
      <c r="K268" s="166" t="n"/>
      <c r="L268" s="166" t="n"/>
    </row>
    <row r="269">
      <c r="D269" s="173" t="n"/>
      <c r="E269" s="164" t="n"/>
      <c r="F269" s="164" t="n"/>
      <c r="G269" s="164" t="n"/>
      <c r="H269" s="164" t="n"/>
      <c r="I269" s="169" t="n"/>
      <c r="J269" s="166" t="n"/>
      <c r="K269" s="166" t="n"/>
      <c r="L269" s="166" t="n"/>
    </row>
    <row r="270">
      <c r="D270" s="173" t="n"/>
      <c r="E270" s="164" t="n"/>
      <c r="F270" s="164" t="n"/>
      <c r="G270" s="164" t="n"/>
      <c r="H270" s="164" t="n"/>
      <c r="I270" s="169" t="n"/>
      <c r="J270" s="166" t="n"/>
      <c r="K270" s="166" t="n"/>
      <c r="L270" s="166" t="n"/>
    </row>
    <row r="271">
      <c r="D271" s="173" t="n"/>
      <c r="E271" s="164" t="n"/>
      <c r="F271" s="164" t="n"/>
      <c r="G271" s="164" t="n"/>
      <c r="H271" s="164" t="n"/>
      <c r="I271" s="169" t="n"/>
      <c r="J271" s="166" t="n"/>
      <c r="K271" s="166" t="n"/>
      <c r="L271" s="166" t="n"/>
    </row>
    <row r="272">
      <c r="D272" s="173" t="n"/>
      <c r="E272" s="164" t="n"/>
      <c r="F272" s="164" t="n"/>
      <c r="G272" s="164" t="n"/>
      <c r="H272" s="164" t="n"/>
      <c r="I272" s="169" t="n"/>
      <c r="J272" s="166" t="n"/>
      <c r="K272" s="166" t="n"/>
      <c r="L272" s="166" t="n"/>
    </row>
    <row r="273">
      <c r="D273" s="173" t="n"/>
      <c r="E273" s="164" t="n"/>
      <c r="F273" s="164" t="n"/>
      <c r="G273" s="164" t="n"/>
      <c r="H273" s="164" t="n"/>
      <c r="I273" s="169" t="n"/>
      <c r="J273" s="166" t="n"/>
      <c r="K273" s="166" t="n"/>
      <c r="L273" s="166" t="n"/>
    </row>
    <row r="274">
      <c r="D274" s="173" t="n"/>
      <c r="E274" s="164" t="n"/>
      <c r="F274" s="164" t="n"/>
      <c r="G274" s="164" t="n"/>
      <c r="H274" s="164" t="n"/>
      <c r="I274" s="169" t="n"/>
      <c r="J274" s="166" t="n"/>
      <c r="K274" s="166" t="n"/>
      <c r="L274" s="166" t="n"/>
    </row>
    <row r="275">
      <c r="D275" s="173" t="n"/>
      <c r="E275" s="164" t="n"/>
      <c r="F275" s="164" t="n"/>
      <c r="G275" s="164" t="n"/>
      <c r="H275" s="164" t="n"/>
      <c r="I275" s="169" t="n"/>
      <c r="J275" s="166" t="n"/>
      <c r="K275" s="166" t="n"/>
      <c r="L275" s="166" t="n"/>
    </row>
    <row r="276">
      <c r="D276" s="173" t="n"/>
      <c r="E276" s="164" t="n"/>
      <c r="F276" s="164" t="n"/>
      <c r="G276" s="164" t="n"/>
      <c r="H276" s="164" t="n"/>
      <c r="I276" s="169" t="n"/>
      <c r="J276" s="166" t="n"/>
      <c r="K276" s="166" t="n"/>
      <c r="L276" s="166" t="n"/>
    </row>
    <row r="277">
      <c r="D277" s="173" t="n"/>
      <c r="E277" s="164" t="n"/>
      <c r="F277" s="164" t="n"/>
      <c r="G277" s="164" t="n"/>
      <c r="H277" s="164" t="n"/>
      <c r="I277" s="169" t="n"/>
      <c r="J277" s="166" t="n"/>
      <c r="K277" s="166" t="n"/>
      <c r="L277" s="166" t="n"/>
    </row>
    <row r="278">
      <c r="D278" s="173" t="n"/>
      <c r="E278" s="164" t="n"/>
      <c r="F278" s="164" t="n"/>
      <c r="G278" s="164" t="n"/>
      <c r="H278" s="164" t="n"/>
      <c r="I278" s="169" t="n"/>
      <c r="J278" s="166" t="n"/>
      <c r="K278" s="166" t="n"/>
      <c r="L278" s="166" t="n"/>
    </row>
    <row r="279">
      <c r="D279" s="173" t="n"/>
      <c r="E279" s="164" t="n"/>
      <c r="F279" s="164" t="n"/>
      <c r="G279" s="164" t="n"/>
      <c r="H279" s="164" t="n"/>
      <c r="I279" s="169" t="n"/>
      <c r="J279" s="166" t="n"/>
      <c r="K279" s="166" t="n"/>
      <c r="L279" s="166" t="n"/>
    </row>
    <row r="280">
      <c r="D280" s="173" t="n"/>
      <c r="E280" s="164" t="n"/>
      <c r="F280" s="164" t="n"/>
      <c r="G280" s="164" t="n"/>
      <c r="H280" s="164" t="n"/>
      <c r="I280" s="169" t="n"/>
      <c r="J280" s="166" t="n"/>
      <c r="K280" s="166" t="n"/>
      <c r="L280" s="166" t="n"/>
    </row>
    <row r="281">
      <c r="D281" s="173" t="n"/>
      <c r="E281" s="164" t="n"/>
      <c r="F281" s="164" t="n"/>
      <c r="G281" s="164" t="n"/>
      <c r="H281" s="164" t="n"/>
      <c r="I281" s="169" t="n"/>
      <c r="J281" s="166" t="n"/>
      <c r="K281" s="166" t="n"/>
      <c r="L281" s="166" t="n"/>
    </row>
    <row r="282">
      <c r="D282" s="173" t="n"/>
      <c r="E282" s="164" t="n"/>
      <c r="F282" s="164" t="n"/>
      <c r="G282" s="164" t="n"/>
      <c r="H282" s="164" t="n"/>
      <c r="I282" s="169" t="n"/>
      <c r="J282" s="166" t="n"/>
      <c r="K282" s="166" t="n"/>
      <c r="L282" s="166" t="n"/>
    </row>
    <row r="283">
      <c r="D283" s="173" t="n"/>
      <c r="E283" s="164" t="n"/>
      <c r="F283" s="164" t="n"/>
      <c r="G283" s="164" t="n"/>
      <c r="H283" s="164" t="n"/>
      <c r="I283" s="169" t="n"/>
      <c r="J283" s="166" t="n"/>
      <c r="K283" s="166" t="n"/>
      <c r="L283" s="166" t="n"/>
    </row>
    <row r="284">
      <c r="D284" s="173" t="n"/>
      <c r="E284" s="164" t="n"/>
      <c r="F284" s="164" t="n"/>
      <c r="G284" s="164" t="n"/>
      <c r="H284" s="164" t="n"/>
      <c r="I284" s="169" t="n"/>
      <c r="J284" s="166" t="n"/>
      <c r="K284" s="166" t="n"/>
      <c r="L284" s="166" t="n"/>
    </row>
    <row r="285">
      <c r="D285" s="173" t="n"/>
      <c r="E285" s="164" t="n"/>
      <c r="F285" s="164" t="n"/>
      <c r="G285" s="164" t="n"/>
      <c r="H285" s="164" t="n"/>
      <c r="I285" s="169" t="n"/>
      <c r="J285" s="166" t="n"/>
      <c r="K285" s="166" t="n"/>
      <c r="L285" s="166" t="n"/>
    </row>
    <row r="286">
      <c r="D286" s="173" t="n"/>
      <c r="E286" s="164" t="n"/>
      <c r="F286" s="164" t="n"/>
      <c r="G286" s="164" t="n"/>
      <c r="H286" s="164" t="n"/>
      <c r="I286" s="169" t="n"/>
      <c r="J286" s="166" t="n"/>
      <c r="K286" s="166" t="n"/>
      <c r="L286" s="166" t="n"/>
    </row>
    <row r="287">
      <c r="D287" s="173" t="n"/>
      <c r="E287" s="164" t="n"/>
      <c r="F287" s="164" t="n"/>
      <c r="G287" s="164" t="n"/>
      <c r="H287" s="164" t="n"/>
      <c r="I287" s="169" t="n"/>
      <c r="J287" s="166" t="n"/>
      <c r="K287" s="166" t="n"/>
      <c r="L287" s="166" t="n"/>
    </row>
    <row r="288">
      <c r="D288" s="173" t="n"/>
      <c r="E288" s="164" t="n"/>
      <c r="F288" s="164" t="n"/>
      <c r="G288" s="164" t="n"/>
      <c r="H288" s="164" t="n"/>
      <c r="I288" s="169" t="n"/>
      <c r="J288" s="166" t="n"/>
      <c r="K288" s="166" t="n"/>
      <c r="L288" s="166" t="n"/>
    </row>
    <row r="289">
      <c r="D289" s="173" t="n"/>
      <c r="E289" s="164" t="n"/>
      <c r="F289" s="164" t="n"/>
      <c r="G289" s="164" t="n"/>
      <c r="H289" s="164" t="n"/>
      <c r="I289" s="169" t="n"/>
      <c r="J289" s="166" t="n"/>
      <c r="K289" s="166" t="n"/>
      <c r="L289" s="166" t="n"/>
    </row>
    <row r="290">
      <c r="D290" s="173" t="n"/>
      <c r="E290" s="164" t="n"/>
      <c r="F290" s="164" t="n"/>
      <c r="G290" s="164" t="n"/>
      <c r="H290" s="164" t="n"/>
      <c r="I290" s="169" t="n"/>
      <c r="J290" s="166" t="n"/>
      <c r="K290" s="166" t="n"/>
      <c r="L290" s="166" t="n"/>
    </row>
    <row r="291">
      <c r="D291" s="173" t="n"/>
      <c r="E291" s="164" t="n"/>
      <c r="F291" s="164" t="n"/>
      <c r="G291" s="164" t="n"/>
      <c r="H291" s="164" t="n"/>
      <c r="I291" s="169" t="n"/>
      <c r="J291" s="166" t="n"/>
      <c r="K291" s="166" t="n"/>
      <c r="L291" s="166" t="n"/>
    </row>
    <row r="292">
      <c r="D292" s="173" t="n"/>
      <c r="E292" s="164" t="n"/>
      <c r="F292" s="164" t="n"/>
      <c r="G292" s="164" t="n"/>
      <c r="H292" s="164" t="n"/>
      <c r="I292" s="169" t="n"/>
      <c r="J292" s="166" t="n"/>
      <c r="K292" s="166" t="n"/>
      <c r="L292" s="166" t="n"/>
    </row>
    <row r="293">
      <c r="D293" s="173" t="n"/>
      <c r="E293" s="164" t="n"/>
      <c r="F293" s="164" t="n"/>
      <c r="G293" s="164" t="n"/>
      <c r="H293" s="164" t="n"/>
      <c r="I293" s="169" t="n"/>
      <c r="J293" s="166" t="n"/>
      <c r="K293" s="166" t="n"/>
      <c r="L293" s="166" t="n"/>
    </row>
    <row r="294">
      <c r="D294" s="173" t="n"/>
      <c r="E294" s="164" t="n"/>
      <c r="F294" s="164" t="n"/>
      <c r="G294" s="164" t="n"/>
      <c r="H294" s="164" t="n"/>
      <c r="I294" s="169" t="n"/>
      <c r="J294" s="166" t="n"/>
      <c r="K294" s="166" t="n"/>
      <c r="L294" s="166" t="n"/>
    </row>
    <row r="295">
      <c r="D295" s="173" t="n"/>
      <c r="E295" s="164" t="n"/>
      <c r="F295" s="164" t="n"/>
      <c r="G295" s="164" t="n"/>
      <c r="H295" s="164" t="n"/>
      <c r="I295" s="169" t="n"/>
      <c r="J295" s="166" t="n"/>
      <c r="K295" s="166" t="n"/>
      <c r="L295" s="166" t="n"/>
    </row>
    <row r="296">
      <c r="D296" s="173" t="n"/>
      <c r="E296" s="164" t="n"/>
      <c r="F296" s="164" t="n"/>
      <c r="G296" s="164" t="n"/>
      <c r="H296" s="164" t="n"/>
      <c r="I296" s="169" t="n"/>
      <c r="J296" s="166" t="n"/>
      <c r="K296" s="166" t="n"/>
      <c r="L296" s="166" t="n"/>
    </row>
    <row r="297">
      <c r="D297" s="173" t="n"/>
      <c r="E297" s="164" t="n"/>
      <c r="F297" s="164" t="n"/>
      <c r="G297" s="164" t="n"/>
      <c r="H297" s="164" t="n"/>
      <c r="I297" s="169" t="n"/>
      <c r="J297" s="166" t="n"/>
      <c r="K297" s="166" t="n"/>
      <c r="L297" s="166" t="n"/>
    </row>
    <row r="298">
      <c r="D298" s="173" t="n"/>
      <c r="E298" s="164" t="n"/>
      <c r="F298" s="164" t="n"/>
      <c r="G298" s="164" t="n"/>
      <c r="H298" s="164" t="n"/>
      <c r="I298" s="169" t="n"/>
      <c r="J298" s="166" t="n"/>
      <c r="K298" s="166" t="n"/>
      <c r="L298" s="166" t="n"/>
    </row>
    <row r="299">
      <c r="D299" s="173" t="n"/>
      <c r="E299" s="164" t="n"/>
      <c r="F299" s="164" t="n"/>
      <c r="G299" s="164" t="n"/>
      <c r="H299" s="164" t="n"/>
      <c r="I299" s="169" t="n"/>
      <c r="J299" s="166" t="n"/>
      <c r="K299" s="166" t="n"/>
      <c r="L299" s="166" t="n"/>
    </row>
    <row r="300">
      <c r="D300" s="173" t="n"/>
      <c r="E300" s="164" t="n"/>
      <c r="F300" s="164" t="n"/>
      <c r="G300" s="164" t="n"/>
      <c r="H300" s="164" t="n"/>
      <c r="I300" s="169" t="n"/>
      <c r="J300" s="166" t="n"/>
      <c r="K300" s="166" t="n"/>
      <c r="L300" s="166" t="n"/>
    </row>
    <row r="301">
      <c r="D301" s="173" t="n"/>
      <c r="E301" s="164" t="n"/>
      <c r="F301" s="164" t="n"/>
      <c r="G301" s="164" t="n"/>
      <c r="H301" s="164" t="n"/>
      <c r="I301" s="169" t="n"/>
      <c r="J301" s="166" t="n"/>
      <c r="K301" s="166" t="n"/>
      <c r="L301" s="166" t="n"/>
    </row>
    <row r="302">
      <c r="D302" s="173" t="n"/>
      <c r="E302" s="164" t="n"/>
      <c r="F302" s="164" t="n"/>
      <c r="G302" s="164" t="n"/>
      <c r="H302" s="164" t="n"/>
      <c r="I302" s="169" t="n"/>
      <c r="J302" s="166" t="n"/>
      <c r="K302" s="166" t="n"/>
      <c r="L302" s="166" t="n"/>
    </row>
    <row r="303">
      <c r="D303" s="173" t="n"/>
      <c r="E303" s="164" t="n"/>
      <c r="F303" s="164" t="n"/>
      <c r="G303" s="164" t="n"/>
      <c r="H303" s="164" t="n"/>
      <c r="I303" s="169" t="n"/>
      <c r="J303" s="166" t="n"/>
      <c r="K303" s="166" t="n"/>
      <c r="L303" s="166" t="n"/>
    </row>
    <row r="304">
      <c r="D304" s="173" t="n"/>
      <c r="E304" s="164" t="n"/>
      <c r="F304" s="164" t="n"/>
      <c r="G304" s="164" t="n"/>
      <c r="H304" s="164" t="n"/>
      <c r="I304" s="169" t="n"/>
      <c r="J304" s="166" t="n"/>
      <c r="K304" s="166" t="n"/>
      <c r="L304" s="166" t="n"/>
    </row>
    <row r="305">
      <c r="D305" s="173" t="n"/>
      <c r="E305" s="164" t="n"/>
      <c r="F305" s="164" t="n"/>
      <c r="G305" s="164" t="n"/>
      <c r="H305" s="164" t="n"/>
      <c r="I305" s="169" t="n"/>
      <c r="J305" s="166" t="n"/>
      <c r="K305" s="166" t="n"/>
      <c r="L305" s="166" t="n"/>
    </row>
    <row r="306">
      <c r="D306" s="173" t="n"/>
      <c r="E306" s="164" t="n"/>
      <c r="F306" s="164" t="n"/>
      <c r="G306" s="164" t="n"/>
      <c r="H306" s="164" t="n"/>
      <c r="I306" s="169" t="n"/>
      <c r="J306" s="166" t="n"/>
      <c r="K306" s="166" t="n"/>
      <c r="L306" s="166" t="n"/>
    </row>
    <row r="307">
      <c r="D307" s="173" t="n"/>
      <c r="E307" s="164" t="n"/>
      <c r="F307" s="164" t="n"/>
      <c r="G307" s="164" t="n"/>
      <c r="H307" s="164" t="n"/>
      <c r="I307" s="169" t="n"/>
      <c r="J307" s="166" t="n"/>
      <c r="K307" s="166" t="n"/>
      <c r="L307" s="166" t="n"/>
    </row>
    <row r="308">
      <c r="D308" s="173" t="n"/>
      <c r="E308" s="164" t="n"/>
      <c r="F308" s="164" t="n"/>
      <c r="G308" s="164" t="n"/>
      <c r="H308" s="164" t="n"/>
      <c r="I308" s="169" t="n"/>
      <c r="J308" s="166" t="n"/>
      <c r="K308" s="166" t="n"/>
      <c r="L308" s="166" t="n"/>
    </row>
    <row r="309">
      <c r="D309" s="173" t="n"/>
      <c r="E309" s="164" t="n"/>
      <c r="F309" s="164" t="n"/>
      <c r="G309" s="164" t="n"/>
      <c r="H309" s="164" t="n"/>
      <c r="I309" s="169" t="n"/>
      <c r="J309" s="166" t="n"/>
      <c r="K309" s="166" t="n"/>
      <c r="L309" s="166" t="n"/>
    </row>
    <row r="310">
      <c r="D310" s="173" t="n"/>
      <c r="E310" s="164" t="n"/>
      <c r="F310" s="164" t="n"/>
      <c r="G310" s="164" t="n"/>
      <c r="H310" s="164" t="n"/>
      <c r="I310" s="169" t="n"/>
      <c r="J310" s="166" t="n"/>
      <c r="K310" s="166" t="n"/>
      <c r="L310" s="166" t="n"/>
    </row>
    <row r="311">
      <c r="D311" s="173" t="n"/>
      <c r="E311" s="164" t="n"/>
      <c r="F311" s="164" t="n"/>
      <c r="G311" s="164" t="n"/>
      <c r="H311" s="164" t="n"/>
      <c r="I311" s="169" t="n"/>
      <c r="J311" s="166" t="n"/>
      <c r="K311" s="166" t="n"/>
      <c r="L311" s="166" t="n"/>
    </row>
    <row r="312">
      <c r="D312" s="173" t="n"/>
      <c r="E312" s="164" t="n"/>
      <c r="F312" s="164" t="n"/>
      <c r="G312" s="164" t="n"/>
      <c r="H312" s="164" t="n"/>
      <c r="I312" s="169" t="n"/>
      <c r="J312" s="166" t="n"/>
      <c r="K312" s="166" t="n"/>
      <c r="L312" s="166" t="n"/>
    </row>
    <row r="313">
      <c r="D313" s="173" t="n"/>
      <c r="E313" s="164" t="n"/>
      <c r="F313" s="164" t="n"/>
      <c r="G313" s="164" t="n"/>
      <c r="H313" s="164" t="n"/>
      <c r="I313" s="169" t="n"/>
      <c r="J313" s="166" t="n"/>
      <c r="K313" s="166" t="n"/>
      <c r="L313" s="166" t="n"/>
    </row>
    <row r="314">
      <c r="D314" s="173" t="n"/>
      <c r="E314" s="164" t="n"/>
      <c r="F314" s="164" t="n"/>
      <c r="G314" s="164" t="n"/>
      <c r="H314" s="164" t="n"/>
      <c r="I314" s="169" t="n"/>
      <c r="J314" s="166" t="n"/>
      <c r="K314" s="166" t="n"/>
      <c r="L314" s="166" t="n"/>
    </row>
    <row r="315">
      <c r="D315" s="173" t="n"/>
      <c r="E315" s="164" t="n"/>
      <c r="F315" s="164" t="n"/>
      <c r="G315" s="164" t="n"/>
      <c r="H315" s="164" t="n"/>
      <c r="I315" s="169" t="n"/>
      <c r="J315" s="166" t="n"/>
      <c r="K315" s="166" t="n"/>
      <c r="L315" s="166" t="n"/>
    </row>
    <row r="316">
      <c r="D316" s="173" t="n"/>
      <c r="E316" s="164" t="n"/>
      <c r="F316" s="164" t="n"/>
      <c r="G316" s="164" t="n"/>
      <c r="H316" s="164" t="n"/>
      <c r="I316" s="169" t="n"/>
      <c r="J316" s="166" t="n"/>
      <c r="K316" s="166" t="n"/>
      <c r="L316" s="166" t="n"/>
    </row>
    <row r="317">
      <c r="D317" s="173" t="n"/>
      <c r="E317" s="164" t="n"/>
      <c r="F317" s="164" t="n"/>
      <c r="G317" s="164" t="n"/>
      <c r="H317" s="164" t="n"/>
      <c r="I317" s="169" t="n"/>
      <c r="J317" s="166" t="n"/>
      <c r="K317" s="166" t="n"/>
      <c r="L317" s="166" t="n"/>
    </row>
    <row r="318">
      <c r="D318" s="173" t="n"/>
      <c r="E318" s="164" t="n"/>
      <c r="F318" s="164" t="n"/>
      <c r="G318" s="164" t="n"/>
      <c r="H318" s="164" t="n"/>
      <c r="I318" s="169" t="n"/>
      <c r="J318" s="166" t="n"/>
      <c r="K318" s="166" t="n"/>
      <c r="L318" s="166" t="n"/>
    </row>
    <row r="319">
      <c r="D319" s="173" t="n"/>
      <c r="E319" s="164" t="n"/>
      <c r="F319" s="164" t="n"/>
      <c r="G319" s="164" t="n"/>
      <c r="H319" s="164" t="n"/>
      <c r="I319" s="169" t="n"/>
      <c r="J319" s="166" t="n"/>
      <c r="K319" s="166" t="n"/>
      <c r="L319" s="166" t="n"/>
    </row>
    <row r="320">
      <c r="D320" s="173" t="n"/>
      <c r="E320" s="164" t="n"/>
      <c r="F320" s="164" t="n"/>
      <c r="G320" s="164" t="n"/>
      <c r="H320" s="164" t="n"/>
      <c r="I320" s="169" t="n"/>
      <c r="J320" s="166" t="n"/>
      <c r="K320" s="166" t="n"/>
      <c r="L320" s="166" t="n"/>
    </row>
    <row r="321">
      <c r="D321" s="173" t="n"/>
      <c r="E321" s="164" t="n"/>
      <c r="F321" s="164" t="n"/>
      <c r="G321" s="164" t="n"/>
      <c r="H321" s="164" t="n"/>
      <c r="I321" s="169" t="n"/>
      <c r="J321" s="166" t="n"/>
      <c r="K321" s="166" t="n"/>
      <c r="L321" s="166" t="n"/>
    </row>
    <row r="322">
      <c r="D322" s="173" t="n"/>
      <c r="E322" s="164" t="n"/>
      <c r="F322" s="164" t="n"/>
      <c r="G322" s="164" t="n"/>
      <c r="H322" s="164" t="n"/>
      <c r="I322" s="169" t="n"/>
      <c r="J322" s="166" t="n"/>
      <c r="K322" s="166" t="n"/>
      <c r="L322" s="166" t="n"/>
    </row>
    <row r="323">
      <c r="D323" s="173" t="n"/>
      <c r="E323" s="164" t="n"/>
      <c r="F323" s="164" t="n"/>
      <c r="G323" s="164" t="n"/>
      <c r="H323" s="164" t="n"/>
      <c r="I323" s="169" t="n"/>
      <c r="J323" s="166" t="n"/>
      <c r="K323" s="166" t="n"/>
      <c r="L323" s="166" t="n"/>
    </row>
    <row r="324">
      <c r="D324" s="173" t="n"/>
      <c r="E324" s="164" t="n"/>
      <c r="F324" s="164" t="n"/>
      <c r="G324" s="164" t="n"/>
      <c r="H324" s="164" t="n"/>
      <c r="I324" s="169" t="n"/>
      <c r="J324" s="166" t="n"/>
      <c r="K324" s="166" t="n"/>
      <c r="L324" s="166" t="n"/>
    </row>
    <row r="325">
      <c r="D325" s="173" t="n"/>
      <c r="E325" s="164" t="n"/>
      <c r="F325" s="164" t="n"/>
      <c r="G325" s="164" t="n"/>
      <c r="H325" s="164" t="n"/>
      <c r="I325" s="169" t="n"/>
      <c r="J325" s="166" t="n"/>
      <c r="K325" s="166" t="n"/>
      <c r="L325" s="166" t="n"/>
    </row>
    <row r="326">
      <c r="D326" s="173" t="n"/>
      <c r="E326" s="164" t="n"/>
      <c r="F326" s="164" t="n"/>
      <c r="G326" s="164" t="n"/>
      <c r="H326" s="164" t="n"/>
      <c r="I326" s="169" t="n"/>
      <c r="J326" s="166" t="n"/>
      <c r="K326" s="166" t="n"/>
      <c r="L326" s="166" t="n"/>
    </row>
    <row r="327">
      <c r="D327" s="173" t="n"/>
      <c r="E327" s="164" t="n"/>
      <c r="F327" s="164" t="n"/>
      <c r="G327" s="164" t="n"/>
      <c r="H327" s="164" t="n"/>
      <c r="I327" s="169" t="n"/>
      <c r="J327" s="166" t="n"/>
      <c r="K327" s="166" t="n"/>
      <c r="L327" s="166" t="n"/>
    </row>
    <row r="328">
      <c r="D328" s="173" t="n"/>
      <c r="E328" s="164" t="n"/>
      <c r="F328" s="164" t="n"/>
      <c r="G328" s="164" t="n"/>
      <c r="H328" s="164" t="n"/>
      <c r="I328" s="169" t="n"/>
      <c r="J328" s="166" t="n"/>
      <c r="K328" s="166" t="n"/>
      <c r="L328" s="166" t="n"/>
    </row>
    <row r="329">
      <c r="D329" s="173" t="n"/>
      <c r="E329" s="164" t="n"/>
      <c r="F329" s="164" t="n"/>
      <c r="G329" s="164" t="n"/>
      <c r="H329" s="164" t="n"/>
      <c r="I329" s="169" t="n"/>
      <c r="J329" s="166" t="n"/>
      <c r="K329" s="166" t="n"/>
      <c r="L329" s="166" t="n"/>
    </row>
    <row r="330">
      <c r="D330" s="173" t="n"/>
      <c r="E330" s="164" t="n"/>
      <c r="F330" s="164" t="n"/>
      <c r="G330" s="164" t="n"/>
      <c r="H330" s="164" t="n"/>
      <c r="I330" s="169" t="n"/>
      <c r="J330" s="166" t="n"/>
      <c r="K330" s="166" t="n"/>
      <c r="L330" s="166" t="n"/>
    </row>
    <row r="331">
      <c r="D331" s="173" t="n"/>
      <c r="E331" s="164" t="n"/>
      <c r="F331" s="164" t="n"/>
      <c r="G331" s="164" t="n"/>
      <c r="H331" s="164" t="n"/>
      <c r="I331" s="169" t="n"/>
      <c r="J331" s="166" t="n"/>
      <c r="K331" s="166" t="n"/>
      <c r="L331" s="166" t="n"/>
    </row>
    <row r="332">
      <c r="D332" s="173" t="n"/>
      <c r="E332" s="164" t="n"/>
      <c r="F332" s="164" t="n"/>
      <c r="G332" s="164" t="n"/>
      <c r="H332" s="164" t="n"/>
      <c r="I332" s="169" t="n"/>
      <c r="J332" s="166" t="n"/>
      <c r="K332" s="166" t="n"/>
      <c r="L332" s="166" t="n"/>
    </row>
    <row r="333">
      <c r="D333" s="173" t="n"/>
      <c r="E333" s="164" t="n"/>
      <c r="F333" s="164" t="n"/>
      <c r="G333" s="164" t="n"/>
      <c r="H333" s="164" t="n"/>
      <c r="I333" s="169" t="n"/>
      <c r="J333" s="166" t="n"/>
      <c r="K333" s="166" t="n"/>
      <c r="L333" s="166" t="n"/>
    </row>
    <row r="334">
      <c r="D334" s="173" t="n"/>
      <c r="E334" s="164" t="n"/>
      <c r="F334" s="164" t="n"/>
      <c r="G334" s="164" t="n"/>
      <c r="H334" s="164" t="n"/>
      <c r="I334" s="169" t="n"/>
      <c r="J334" s="166" t="n"/>
      <c r="K334" s="166" t="n"/>
      <c r="L334" s="166" t="n"/>
    </row>
    <row r="335">
      <c r="D335" s="173" t="n"/>
      <c r="E335" s="164" t="n"/>
      <c r="F335" s="164" t="n"/>
      <c r="G335" s="164" t="n"/>
      <c r="H335" s="164" t="n"/>
      <c r="I335" s="169" t="n"/>
      <c r="J335" s="166" t="n"/>
      <c r="K335" s="166" t="n"/>
      <c r="L335" s="166" t="n"/>
    </row>
    <row r="336">
      <c r="D336" s="173" t="n"/>
      <c r="E336" s="164" t="n"/>
      <c r="F336" s="164" t="n"/>
      <c r="G336" s="164" t="n"/>
      <c r="H336" s="164" t="n"/>
      <c r="I336" s="169" t="n"/>
      <c r="J336" s="166" t="n"/>
      <c r="K336" s="166" t="n"/>
      <c r="L336" s="166" t="n"/>
    </row>
    <row r="337">
      <c r="D337" s="173" t="n"/>
      <c r="E337" s="164" t="n"/>
      <c r="F337" s="164" t="n"/>
      <c r="G337" s="164" t="n"/>
      <c r="H337" s="164" t="n"/>
      <c r="I337" s="169" t="n"/>
      <c r="J337" s="166" t="n"/>
      <c r="K337" s="166" t="n"/>
      <c r="L337" s="166" t="n"/>
    </row>
    <row r="338">
      <c r="D338" s="173" t="n"/>
      <c r="E338" s="164" t="n"/>
      <c r="F338" s="164" t="n"/>
      <c r="G338" s="164" t="n"/>
      <c r="H338" s="164" t="n"/>
      <c r="I338" s="169" t="n"/>
      <c r="J338" s="166" t="n"/>
      <c r="K338" s="166" t="n"/>
      <c r="L338" s="166" t="n"/>
    </row>
    <row r="339">
      <c r="D339" s="173" t="n"/>
      <c r="E339" s="164" t="n"/>
      <c r="F339" s="164" t="n"/>
      <c r="G339" s="164" t="n"/>
      <c r="H339" s="164" t="n"/>
      <c r="I339" s="169" t="n"/>
      <c r="J339" s="166" t="n"/>
      <c r="K339" s="166" t="n"/>
      <c r="L339" s="166" t="n"/>
    </row>
    <row r="340">
      <c r="D340" s="173" t="n"/>
      <c r="E340" s="164" t="n"/>
      <c r="F340" s="164" t="n"/>
      <c r="G340" s="164" t="n"/>
      <c r="H340" s="164" t="n"/>
      <c r="I340" s="169" t="n"/>
      <c r="J340" s="166" t="n"/>
      <c r="K340" s="166" t="n"/>
      <c r="L340" s="166" t="n"/>
    </row>
    <row r="341">
      <c r="D341" s="173" t="n"/>
      <c r="E341" s="164" t="n"/>
      <c r="F341" s="164" t="n"/>
      <c r="G341" s="164" t="n"/>
      <c r="H341" s="164" t="n"/>
      <c r="I341" s="169" t="n"/>
      <c r="J341" s="166" t="n"/>
      <c r="K341" s="166" t="n"/>
      <c r="L341" s="166" t="n"/>
    </row>
    <row r="342">
      <c r="D342" s="173" t="n"/>
      <c r="E342" s="164" t="n"/>
      <c r="F342" s="164" t="n"/>
      <c r="G342" s="164" t="n"/>
      <c r="H342" s="164" t="n"/>
      <c r="I342" s="169" t="n"/>
      <c r="J342" s="166" t="n"/>
      <c r="K342" s="166" t="n"/>
      <c r="L342" s="166" t="n"/>
    </row>
    <row r="343">
      <c r="D343" s="173" t="n"/>
      <c r="E343" s="164" t="n"/>
      <c r="F343" s="164" t="n"/>
      <c r="G343" s="164" t="n"/>
      <c r="H343" s="164" t="n"/>
      <c r="I343" s="169" t="n"/>
      <c r="J343" s="166" t="n"/>
      <c r="K343" s="166" t="n"/>
      <c r="L343" s="166" t="n"/>
    </row>
    <row r="344">
      <c r="D344" s="173" t="n"/>
      <c r="E344" s="164" t="n"/>
      <c r="F344" s="164" t="n"/>
      <c r="G344" s="164" t="n"/>
      <c r="H344" s="164" t="n"/>
      <c r="I344" s="169" t="n"/>
      <c r="J344" s="166" t="n"/>
      <c r="K344" s="166" t="n"/>
      <c r="L344" s="166" t="n"/>
    </row>
    <row r="345">
      <c r="D345" s="173" t="n"/>
      <c r="E345" s="164" t="n"/>
      <c r="F345" s="164" t="n"/>
      <c r="G345" s="164" t="n"/>
      <c r="H345" s="164" t="n"/>
      <c r="I345" s="169" t="n"/>
      <c r="J345" s="166" t="n"/>
      <c r="K345" s="166" t="n"/>
      <c r="L345" s="166" t="n"/>
    </row>
    <row r="346">
      <c r="D346" s="173" t="n"/>
      <c r="E346" s="164" t="n"/>
      <c r="F346" s="164" t="n"/>
      <c r="G346" s="164" t="n"/>
      <c r="H346" s="164" t="n"/>
      <c r="I346" s="169" t="n"/>
      <c r="J346" s="166" t="n"/>
      <c r="K346" s="166" t="n"/>
      <c r="L346" s="166" t="n"/>
    </row>
    <row r="347">
      <c r="D347" s="173" t="n"/>
      <c r="E347" s="164" t="n"/>
      <c r="F347" s="164" t="n"/>
      <c r="G347" s="164" t="n"/>
      <c r="H347" s="164" t="n"/>
      <c r="I347" s="169" t="n"/>
      <c r="J347" s="166" t="n"/>
      <c r="K347" s="166" t="n"/>
      <c r="L347" s="166" t="n"/>
    </row>
    <row r="348">
      <c r="D348" s="173" t="n"/>
      <c r="E348" s="164" t="n"/>
      <c r="F348" s="164" t="n"/>
      <c r="G348" s="164" t="n"/>
      <c r="H348" s="164" t="n"/>
      <c r="I348" s="169" t="n"/>
      <c r="J348" s="166" t="n"/>
      <c r="K348" s="166" t="n"/>
      <c r="L348" s="166" t="n"/>
    </row>
    <row r="349">
      <c r="D349" s="173" t="n"/>
      <c r="E349" s="164" t="n"/>
      <c r="F349" s="164" t="n"/>
      <c r="G349" s="164" t="n"/>
      <c r="H349" s="164" t="n"/>
      <c r="I349" s="169" t="n"/>
      <c r="J349" s="166" t="n"/>
      <c r="K349" s="166" t="n"/>
      <c r="L349" s="166" t="n"/>
    </row>
    <row r="350">
      <c r="D350" s="173" t="n"/>
      <c r="E350" s="164" t="n"/>
      <c r="F350" s="164" t="n"/>
      <c r="G350" s="164" t="n"/>
      <c r="H350" s="164" t="n"/>
      <c r="I350" s="169" t="n"/>
      <c r="J350" s="166" t="n"/>
      <c r="K350" s="166" t="n"/>
      <c r="L350" s="166" t="n"/>
    </row>
    <row r="351">
      <c r="D351" s="173" t="n"/>
      <c r="E351" s="164" t="n"/>
      <c r="F351" s="164" t="n"/>
      <c r="G351" s="164" t="n"/>
      <c r="H351" s="164" t="n"/>
      <c r="I351" s="169" t="n"/>
      <c r="J351" s="166" t="n"/>
      <c r="K351" s="166" t="n"/>
      <c r="L351" s="166" t="n"/>
    </row>
    <row r="352">
      <c r="D352" s="173" t="n"/>
      <c r="E352" s="164" t="n"/>
      <c r="F352" s="164" t="n"/>
      <c r="G352" s="164" t="n"/>
      <c r="H352" s="164" t="n"/>
      <c r="I352" s="169" t="n"/>
      <c r="J352" s="166" t="n"/>
      <c r="K352" s="166" t="n"/>
      <c r="L352" s="166" t="n"/>
    </row>
    <row r="353">
      <c r="D353" s="173" t="n"/>
      <c r="E353" s="164" t="n"/>
      <c r="F353" s="164" t="n"/>
      <c r="G353" s="164" t="n"/>
      <c r="H353" s="164" t="n"/>
      <c r="I353" s="169" t="n"/>
      <c r="J353" s="166" t="n"/>
      <c r="K353" s="166" t="n"/>
      <c r="L353" s="166" t="n"/>
    </row>
    <row r="354">
      <c r="D354" s="173" t="n"/>
      <c r="E354" s="164" t="n"/>
      <c r="F354" s="164" t="n"/>
      <c r="G354" s="164" t="n"/>
      <c r="H354" s="164" t="n"/>
      <c r="I354" s="169" t="n"/>
      <c r="J354" s="166" t="n"/>
      <c r="K354" s="166" t="n"/>
      <c r="L354" s="166" t="n"/>
    </row>
    <row r="355">
      <c r="D355" s="173" t="n"/>
      <c r="E355" s="164" t="n"/>
      <c r="F355" s="164" t="n"/>
      <c r="G355" s="164" t="n"/>
      <c r="H355" s="164" t="n"/>
      <c r="I355" s="169" t="n"/>
      <c r="J355" s="166" t="n"/>
      <c r="K355" s="166" t="n"/>
      <c r="L355" s="166" t="n"/>
    </row>
    <row r="356">
      <c r="D356" s="173" t="n"/>
      <c r="E356" s="164" t="n"/>
      <c r="F356" s="164" t="n"/>
      <c r="G356" s="164" t="n"/>
      <c r="H356" s="164" t="n"/>
      <c r="I356" s="169" t="n"/>
      <c r="J356" s="166" t="n"/>
      <c r="K356" s="166" t="n"/>
      <c r="L356" s="166" t="n"/>
    </row>
    <row r="357">
      <c r="D357" s="173" t="n"/>
      <c r="E357" s="164" t="n"/>
      <c r="F357" s="164" t="n"/>
      <c r="G357" s="164" t="n"/>
      <c r="H357" s="164" t="n"/>
      <c r="I357" s="169" t="n"/>
      <c r="J357" s="166" t="n"/>
      <c r="K357" s="166" t="n"/>
      <c r="L357" s="166" t="n"/>
    </row>
    <row r="358">
      <c r="D358" s="173" t="n"/>
      <c r="E358" s="164" t="n"/>
      <c r="F358" s="164" t="n"/>
      <c r="G358" s="164" t="n"/>
      <c r="H358" s="164" t="n"/>
      <c r="I358" s="169" t="n"/>
      <c r="J358" s="166" t="n"/>
      <c r="K358" s="166" t="n"/>
      <c r="L358" s="166" t="n"/>
    </row>
    <row r="359">
      <c r="D359" s="173" t="n"/>
      <c r="E359" s="164" t="n"/>
      <c r="F359" s="164" t="n"/>
      <c r="G359" s="164" t="n"/>
      <c r="H359" s="164" t="n"/>
      <c r="I359" s="169" t="n"/>
      <c r="J359" s="166" t="n"/>
      <c r="K359" s="166" t="n"/>
      <c r="L359" s="166" t="n"/>
    </row>
    <row r="360">
      <c r="D360" s="173" t="n"/>
      <c r="E360" s="164" t="n"/>
      <c r="F360" s="164" t="n"/>
      <c r="G360" s="164" t="n"/>
      <c r="H360" s="164" t="n"/>
      <c r="I360" s="169" t="n"/>
      <c r="J360" s="166" t="n"/>
      <c r="K360" s="166" t="n"/>
      <c r="L360" s="166" t="n"/>
    </row>
    <row r="361">
      <c r="D361" s="173" t="n"/>
      <c r="E361" s="164" t="n"/>
      <c r="F361" s="164" t="n"/>
      <c r="G361" s="164" t="n"/>
      <c r="H361" s="164" t="n"/>
      <c r="I361" s="169" t="n"/>
      <c r="J361" s="166" t="n"/>
      <c r="K361" s="166" t="n"/>
      <c r="L361" s="166" t="n"/>
    </row>
    <row r="362">
      <c r="D362" s="173" t="n"/>
      <c r="E362" s="164" t="n"/>
      <c r="F362" s="164" t="n"/>
      <c r="G362" s="164" t="n"/>
      <c r="H362" s="164" t="n"/>
      <c r="I362" s="169" t="n"/>
      <c r="J362" s="166" t="n"/>
      <c r="K362" s="166" t="n"/>
      <c r="L362" s="166" t="n"/>
    </row>
    <row r="363">
      <c r="D363" s="173" t="n"/>
      <c r="E363" s="164" t="n"/>
      <c r="F363" s="164" t="n"/>
      <c r="G363" s="164" t="n"/>
      <c r="H363" s="164" t="n"/>
      <c r="I363" s="169" t="n"/>
      <c r="J363" s="166" t="n"/>
      <c r="K363" s="166" t="n"/>
      <c r="L363" s="166" t="n"/>
    </row>
    <row r="364">
      <c r="D364" s="173" t="n"/>
      <c r="E364" s="164" t="n"/>
      <c r="F364" s="164" t="n"/>
      <c r="G364" s="164" t="n"/>
      <c r="H364" s="164" t="n"/>
      <c r="I364" s="169" t="n"/>
      <c r="J364" s="166" t="n"/>
      <c r="K364" s="166" t="n"/>
      <c r="L364" s="166" t="n"/>
    </row>
    <row r="365">
      <c r="D365" s="173" t="n"/>
      <c r="E365" s="164" t="n"/>
      <c r="F365" s="164" t="n"/>
      <c r="G365" s="164" t="n"/>
      <c r="H365" s="164" t="n"/>
      <c r="I365" s="169" t="n"/>
      <c r="J365" s="166" t="n"/>
      <c r="K365" s="166" t="n"/>
      <c r="L365" s="166" t="n"/>
    </row>
    <row r="366">
      <c r="D366" s="173" t="n"/>
      <c r="E366" s="164" t="n"/>
      <c r="F366" s="164" t="n"/>
      <c r="G366" s="164" t="n"/>
      <c r="H366" s="164" t="n"/>
      <c r="I366" s="169" t="n"/>
      <c r="J366" s="166" t="n"/>
      <c r="K366" s="166" t="n"/>
      <c r="L366" s="166" t="n"/>
    </row>
    <row r="367">
      <c r="D367" s="173" t="n"/>
      <c r="E367" s="164" t="n"/>
      <c r="F367" s="164" t="n"/>
      <c r="G367" s="164" t="n"/>
      <c r="H367" s="164" t="n"/>
      <c r="I367" s="169" t="n"/>
      <c r="J367" s="166" t="n"/>
      <c r="K367" s="166" t="n"/>
      <c r="L367" s="166" t="n"/>
    </row>
    <row r="368">
      <c r="D368" s="173" t="n"/>
      <c r="E368" s="164" t="n"/>
      <c r="F368" s="164" t="n"/>
      <c r="G368" s="164" t="n"/>
      <c r="H368" s="164" t="n"/>
      <c r="I368" s="169" t="n"/>
      <c r="J368" s="166" t="n"/>
      <c r="K368" s="166" t="n"/>
      <c r="L368" s="166" t="n"/>
    </row>
    <row r="369">
      <c r="D369" s="173" t="n"/>
      <c r="E369" s="164" t="n"/>
      <c r="F369" s="164" t="n"/>
      <c r="G369" s="164" t="n"/>
      <c r="H369" s="164" t="n"/>
      <c r="I369" s="169" t="n"/>
      <c r="J369" s="166" t="n"/>
      <c r="K369" s="166" t="n"/>
      <c r="L369" s="166" t="n"/>
    </row>
    <row r="370">
      <c r="D370" s="173" t="n"/>
      <c r="E370" s="164" t="n"/>
      <c r="F370" s="164" t="n"/>
      <c r="G370" s="164" t="n"/>
      <c r="H370" s="164" t="n"/>
      <c r="I370" s="169" t="n"/>
      <c r="J370" s="166" t="n"/>
      <c r="K370" s="166" t="n"/>
      <c r="L370" s="166" t="n"/>
    </row>
    <row r="371">
      <c r="D371" s="173" t="n"/>
      <c r="E371" s="164" t="n"/>
      <c r="F371" s="164" t="n"/>
      <c r="G371" s="164" t="n"/>
      <c r="H371" s="164" t="n"/>
      <c r="I371" s="169" t="n"/>
      <c r="J371" s="166" t="n"/>
      <c r="K371" s="166" t="n"/>
      <c r="L371" s="166" t="n"/>
    </row>
    <row r="372">
      <c r="D372" s="173" t="n"/>
      <c r="E372" s="164" t="n"/>
      <c r="F372" s="164" t="n"/>
      <c r="G372" s="164" t="n"/>
      <c r="H372" s="164" t="n"/>
      <c r="I372" s="169" t="n"/>
      <c r="J372" s="166" t="n"/>
      <c r="K372" s="166" t="n"/>
      <c r="L372" s="166" t="n"/>
    </row>
    <row r="373">
      <c r="D373" s="173" t="n"/>
      <c r="E373" s="164" t="n"/>
      <c r="F373" s="164" t="n"/>
      <c r="G373" s="164" t="n"/>
      <c r="H373" s="164" t="n"/>
      <c r="I373" s="169" t="n"/>
      <c r="J373" s="166" t="n"/>
      <c r="K373" s="166" t="n"/>
      <c r="L373" s="166" t="n"/>
    </row>
    <row r="374">
      <c r="D374" s="173" t="n"/>
      <c r="E374" s="164" t="n"/>
      <c r="F374" s="164" t="n"/>
      <c r="G374" s="164" t="n"/>
      <c r="H374" s="164" t="n"/>
      <c r="I374" s="169" t="n"/>
      <c r="J374" s="166" t="n"/>
      <c r="K374" s="166" t="n"/>
      <c r="L374" s="166" t="n"/>
    </row>
    <row r="375">
      <c r="D375" s="173" t="n"/>
      <c r="E375" s="164" t="n"/>
      <c r="F375" s="164" t="n"/>
      <c r="G375" s="164" t="n"/>
      <c r="H375" s="164" t="n"/>
      <c r="I375" s="169" t="n"/>
      <c r="J375" s="166" t="n"/>
      <c r="K375" s="166" t="n"/>
      <c r="L375" s="166" t="n"/>
    </row>
    <row r="376">
      <c r="D376" s="173" t="n"/>
      <c r="E376" s="164" t="n"/>
      <c r="F376" s="164" t="n"/>
      <c r="G376" s="164" t="n"/>
      <c r="H376" s="164" t="n"/>
      <c r="I376" s="169" t="n"/>
      <c r="J376" s="166" t="n"/>
      <c r="K376" s="166" t="n"/>
      <c r="L376" s="166" t="n"/>
    </row>
    <row r="377">
      <c r="D377" s="173" t="n"/>
      <c r="E377" s="164" t="n"/>
      <c r="F377" s="164" t="n"/>
      <c r="G377" s="164" t="n"/>
      <c r="H377" s="164" t="n"/>
      <c r="I377" s="169" t="n"/>
      <c r="J377" s="166" t="n"/>
      <c r="K377" s="166" t="n"/>
      <c r="L377" s="166" t="n"/>
    </row>
    <row r="378">
      <c r="D378" s="173" t="n"/>
      <c r="E378" s="164" t="n"/>
      <c r="F378" s="164" t="n"/>
      <c r="G378" s="164" t="n"/>
      <c r="H378" s="164" t="n"/>
      <c r="I378" s="169" t="n"/>
      <c r="J378" s="166" t="n"/>
      <c r="K378" s="166" t="n"/>
      <c r="L378" s="166" t="n"/>
    </row>
    <row r="379">
      <c r="D379" s="173" t="n"/>
      <c r="E379" s="164" t="n"/>
      <c r="F379" s="164" t="n"/>
      <c r="G379" s="164" t="n"/>
      <c r="H379" s="164" t="n"/>
      <c r="I379" s="169" t="n"/>
      <c r="J379" s="166" t="n"/>
      <c r="K379" s="166" t="n"/>
      <c r="L379" s="166" t="n"/>
    </row>
    <row r="380">
      <c r="D380" s="173" t="n"/>
      <c r="E380" s="164" t="n"/>
      <c r="F380" s="164" t="n"/>
      <c r="G380" s="164" t="n"/>
      <c r="H380" s="164" t="n"/>
      <c r="I380" s="169" t="n"/>
      <c r="J380" s="166" t="n"/>
      <c r="K380" s="166" t="n"/>
      <c r="L380" s="166" t="n"/>
    </row>
    <row r="381">
      <c r="D381" s="173" t="n"/>
      <c r="E381" s="164" t="n"/>
      <c r="F381" s="164" t="n"/>
      <c r="G381" s="164" t="n"/>
      <c r="H381" s="164" t="n"/>
      <c r="I381" s="169" t="n"/>
      <c r="J381" s="166" t="n"/>
      <c r="K381" s="166" t="n"/>
      <c r="L381" s="166" t="n"/>
    </row>
    <row r="382">
      <c r="D382" s="173" t="n"/>
      <c r="E382" s="164" t="n"/>
      <c r="F382" s="164" t="n"/>
      <c r="G382" s="164" t="n"/>
      <c r="H382" s="164" t="n"/>
      <c r="I382" s="169" t="n"/>
      <c r="J382" s="166" t="n"/>
      <c r="K382" s="166" t="n"/>
      <c r="L382" s="166" t="n"/>
    </row>
    <row r="383">
      <c r="D383" s="173" t="n"/>
      <c r="E383" s="164" t="n"/>
      <c r="F383" s="164" t="n"/>
      <c r="G383" s="164" t="n"/>
      <c r="H383" s="164" t="n"/>
      <c r="I383" s="169" t="n"/>
      <c r="J383" s="166" t="n"/>
      <c r="K383" s="166" t="n"/>
      <c r="L383" s="166" t="n"/>
    </row>
    <row r="384">
      <c r="D384" s="173" t="n"/>
      <c r="E384" s="164" t="n"/>
      <c r="F384" s="164" t="n"/>
      <c r="G384" s="164" t="n"/>
      <c r="H384" s="164" t="n"/>
      <c r="I384" s="169" t="n"/>
      <c r="J384" s="166" t="n"/>
      <c r="K384" s="166" t="n"/>
      <c r="L384" s="166" t="n"/>
    </row>
    <row r="385">
      <c r="D385" s="173" t="n"/>
      <c r="E385" s="164" t="n"/>
      <c r="F385" s="164" t="n"/>
      <c r="G385" s="164" t="n"/>
      <c r="H385" s="164" t="n"/>
      <c r="I385" s="169" t="n"/>
      <c r="J385" s="166" t="n"/>
      <c r="K385" s="166" t="n"/>
      <c r="L385" s="166" t="n"/>
    </row>
    <row r="386">
      <c r="D386" s="173" t="n"/>
      <c r="E386" s="164" t="n"/>
      <c r="F386" s="164" t="n"/>
      <c r="G386" s="164" t="n"/>
      <c r="H386" s="164" t="n"/>
      <c r="I386" s="169" t="n"/>
      <c r="J386" s="166" t="n"/>
      <c r="K386" s="166" t="n"/>
      <c r="L386" s="166" t="n"/>
    </row>
    <row r="387">
      <c r="D387" s="173" t="n"/>
      <c r="E387" s="164" t="n"/>
      <c r="F387" s="164" t="n"/>
      <c r="G387" s="164" t="n"/>
      <c r="H387" s="164" t="n"/>
      <c r="I387" s="169" t="n"/>
      <c r="J387" s="166" t="n"/>
      <c r="K387" s="166" t="n"/>
      <c r="L387" s="166" t="n"/>
    </row>
    <row r="388">
      <c r="D388" s="173" t="n"/>
      <c r="E388" s="164" t="n"/>
      <c r="F388" s="164" t="n"/>
      <c r="G388" s="164" t="n"/>
      <c r="H388" s="164" t="n"/>
      <c r="I388" s="169" t="n"/>
      <c r="J388" s="166" t="n"/>
      <c r="K388" s="166" t="n"/>
      <c r="L388" s="166" t="n"/>
    </row>
    <row r="389">
      <c r="D389" s="173" t="n"/>
      <c r="E389" s="164" t="n"/>
      <c r="F389" s="164" t="n"/>
      <c r="G389" s="164" t="n"/>
      <c r="H389" s="164" t="n"/>
      <c r="I389" s="169" t="n"/>
      <c r="J389" s="166" t="n"/>
      <c r="K389" s="166" t="n"/>
      <c r="L389" s="166" t="n"/>
    </row>
    <row r="390">
      <c r="D390" s="173" t="n"/>
      <c r="E390" s="164" t="n"/>
      <c r="F390" s="164" t="n"/>
      <c r="G390" s="164" t="n"/>
      <c r="H390" s="164" t="n"/>
      <c r="I390" s="169" t="n"/>
      <c r="J390" s="166" t="n"/>
      <c r="K390" s="166" t="n"/>
      <c r="L390" s="166" t="n"/>
    </row>
    <row r="391">
      <c r="D391" s="173" t="n"/>
      <c r="E391" s="164" t="n"/>
      <c r="F391" s="164" t="n"/>
      <c r="G391" s="164" t="n"/>
      <c r="H391" s="164" t="n"/>
      <c r="I391" s="169" t="n"/>
      <c r="J391" s="166" t="n"/>
      <c r="K391" s="166" t="n"/>
      <c r="L391" s="166" t="n"/>
    </row>
    <row r="392">
      <c r="D392" s="173" t="n"/>
      <c r="E392" s="164" t="n"/>
      <c r="F392" s="164" t="n"/>
      <c r="G392" s="164" t="n"/>
      <c r="H392" s="164" t="n"/>
      <c r="I392" s="169" t="n"/>
      <c r="J392" s="166" t="n"/>
      <c r="K392" s="166" t="n"/>
      <c r="L392" s="166" t="n"/>
    </row>
    <row r="393">
      <c r="D393" s="173" t="n"/>
      <c r="E393" s="164" t="n"/>
      <c r="F393" s="164" t="n"/>
      <c r="G393" s="164" t="n"/>
      <c r="H393" s="164" t="n"/>
      <c r="I393" s="169" t="n"/>
      <c r="J393" s="166" t="n"/>
      <c r="K393" s="166" t="n"/>
      <c r="L393" s="166" t="n"/>
    </row>
    <row r="394">
      <c r="D394" s="173" t="n"/>
      <c r="E394" s="164" t="n"/>
      <c r="F394" s="164" t="n"/>
      <c r="G394" s="164" t="n"/>
      <c r="H394" s="164" t="n"/>
      <c r="I394" s="169" t="n"/>
      <c r="J394" s="166" t="n"/>
      <c r="K394" s="166" t="n"/>
      <c r="L394" s="166" t="n"/>
    </row>
    <row r="395">
      <c r="D395" s="173" t="n"/>
      <c r="E395" s="164" t="n"/>
      <c r="F395" s="164" t="n"/>
      <c r="G395" s="164" t="n"/>
      <c r="H395" s="164" t="n"/>
      <c r="I395" s="169" t="n"/>
      <c r="J395" s="166" t="n"/>
      <c r="K395" s="166" t="n"/>
      <c r="L395" s="166" t="n"/>
    </row>
    <row r="396">
      <c r="D396" s="173" t="n"/>
      <c r="E396" s="164" t="n"/>
      <c r="F396" s="164" t="n"/>
      <c r="G396" s="164" t="n"/>
      <c r="H396" s="164" t="n"/>
      <c r="I396" s="169" t="n"/>
      <c r="J396" s="166" t="n"/>
      <c r="K396" s="166" t="n"/>
      <c r="L396" s="166" t="n"/>
    </row>
    <row r="397">
      <c r="D397" s="173" t="n"/>
      <c r="E397" s="164" t="n"/>
      <c r="F397" s="164" t="n"/>
      <c r="G397" s="164" t="n"/>
      <c r="H397" s="164" t="n"/>
      <c r="I397" s="169" t="n"/>
      <c r="J397" s="166" t="n"/>
      <c r="K397" s="166" t="n"/>
      <c r="L397" s="166" t="n"/>
    </row>
    <row r="398">
      <c r="D398" s="173" t="n"/>
      <c r="E398" s="164" t="n"/>
      <c r="F398" s="164" t="n"/>
      <c r="G398" s="164" t="n"/>
      <c r="H398" s="164" t="n"/>
      <c r="I398" s="169" t="n"/>
      <c r="J398" s="166" t="n"/>
      <c r="K398" s="166" t="n"/>
      <c r="L398" s="166" t="n"/>
    </row>
    <row r="399">
      <c r="D399" s="173" t="n"/>
      <c r="E399" s="164" t="n"/>
      <c r="F399" s="164" t="n"/>
      <c r="G399" s="164" t="n"/>
      <c r="H399" s="164" t="n"/>
      <c r="I399" s="169" t="n"/>
      <c r="J399" s="166" t="n"/>
      <c r="K399" s="166" t="n"/>
      <c r="L399" s="166" t="n"/>
    </row>
    <row r="400">
      <c r="D400" s="173" t="n"/>
      <c r="E400" s="164" t="n"/>
      <c r="F400" s="164" t="n"/>
      <c r="G400" s="164" t="n"/>
      <c r="H400" s="164" t="n"/>
      <c r="I400" s="169" t="n"/>
      <c r="J400" s="166" t="n"/>
      <c r="K400" s="166" t="n"/>
      <c r="L400" s="166" t="n"/>
    </row>
    <row r="401">
      <c r="D401" s="173" t="n"/>
      <c r="E401" s="164" t="n"/>
      <c r="F401" s="164" t="n"/>
      <c r="G401" s="164" t="n"/>
      <c r="H401" s="164" t="n"/>
      <c r="I401" s="169" t="n"/>
      <c r="J401" s="166" t="n"/>
      <c r="K401" s="166" t="n"/>
      <c r="L401" s="166" t="n"/>
    </row>
    <row r="402">
      <c r="D402" s="173" t="n"/>
      <c r="E402" s="164" t="n"/>
      <c r="F402" s="164" t="n"/>
      <c r="G402" s="164" t="n"/>
      <c r="H402" s="164" t="n"/>
      <c r="I402" s="169" t="n"/>
      <c r="J402" s="166" t="n"/>
      <c r="K402" s="166" t="n"/>
      <c r="L402" s="166" t="n"/>
    </row>
    <row r="403">
      <c r="D403" s="173" t="n"/>
      <c r="E403" s="164" t="n"/>
      <c r="F403" s="164" t="n"/>
      <c r="G403" s="164" t="n"/>
      <c r="H403" s="164" t="n"/>
      <c r="I403" s="169" t="n"/>
      <c r="J403" s="166" t="n"/>
      <c r="K403" s="166" t="n"/>
      <c r="L403" s="166" t="n"/>
    </row>
    <row r="404">
      <c r="D404" s="173" t="n"/>
      <c r="E404" s="164" t="n"/>
      <c r="F404" s="164" t="n"/>
      <c r="G404" s="164" t="n"/>
      <c r="H404" s="164" t="n"/>
      <c r="I404" s="169" t="n"/>
      <c r="J404" s="166" t="n"/>
      <c r="K404" s="166" t="n"/>
      <c r="L404" s="166" t="n"/>
    </row>
    <row r="405">
      <c r="D405" s="173" t="n"/>
      <c r="E405" s="164" t="n"/>
      <c r="F405" s="164" t="n"/>
      <c r="G405" s="164" t="n"/>
      <c r="H405" s="164" t="n"/>
      <c r="I405" s="169" t="n"/>
      <c r="J405" s="166" t="n"/>
      <c r="K405" s="166" t="n"/>
      <c r="L405" s="166" t="n"/>
    </row>
    <row r="406">
      <c r="D406" s="173" t="n"/>
      <c r="E406" s="164" t="n"/>
      <c r="F406" s="164" t="n"/>
      <c r="G406" s="164" t="n"/>
      <c r="H406" s="164" t="n"/>
      <c r="I406" s="169" t="n"/>
      <c r="J406" s="166" t="n"/>
      <c r="K406" s="166" t="n"/>
      <c r="L406" s="166" t="n"/>
    </row>
    <row r="407">
      <c r="D407" s="173" t="n"/>
      <c r="E407" s="164" t="n"/>
      <c r="F407" s="164" t="n"/>
      <c r="G407" s="164" t="n"/>
      <c r="H407" s="164" t="n"/>
      <c r="I407" s="169" t="n"/>
      <c r="J407" s="166" t="n"/>
      <c r="K407" s="166" t="n"/>
      <c r="L407" s="166" t="n"/>
    </row>
    <row r="408">
      <c r="D408" s="173" t="n"/>
      <c r="E408" s="164" t="n"/>
      <c r="F408" s="164" t="n"/>
      <c r="G408" s="164" t="n"/>
      <c r="H408" s="164" t="n"/>
      <c r="I408" s="169" t="n"/>
      <c r="J408" s="166" t="n"/>
      <c r="K408" s="166" t="n"/>
      <c r="L408" s="166" t="n"/>
    </row>
    <row r="409">
      <c r="D409" s="173" t="n"/>
      <c r="E409" s="164" t="n"/>
      <c r="F409" s="164" t="n"/>
      <c r="G409" s="164" t="n"/>
      <c r="H409" s="164" t="n"/>
      <c r="I409" s="169" t="n"/>
      <c r="J409" s="166" t="n"/>
      <c r="K409" s="166" t="n"/>
      <c r="L409" s="166" t="n"/>
    </row>
    <row r="410">
      <c r="D410" s="173" t="n"/>
      <c r="E410" s="164" t="n"/>
      <c r="F410" s="164" t="n"/>
      <c r="G410" s="164" t="n"/>
      <c r="H410" s="164" t="n"/>
      <c r="I410" s="169" t="n"/>
      <c r="J410" s="166" t="n"/>
      <c r="K410" s="166" t="n"/>
      <c r="L410" s="166" t="n"/>
    </row>
    <row r="411">
      <c r="D411" s="173" t="n"/>
      <c r="E411" s="164" t="n"/>
      <c r="F411" s="164" t="n"/>
      <c r="G411" s="164" t="n"/>
      <c r="H411" s="164" t="n"/>
      <c r="I411" s="169" t="n"/>
      <c r="J411" s="166" t="n"/>
      <c r="K411" s="166" t="n"/>
      <c r="L411" s="166" t="n"/>
    </row>
    <row r="412">
      <c r="D412" s="173" t="n"/>
      <c r="E412" s="164" t="n"/>
      <c r="F412" s="164" t="n"/>
      <c r="G412" s="164" t="n"/>
      <c r="H412" s="164" t="n"/>
      <c r="I412" s="169" t="n"/>
      <c r="J412" s="166" t="n"/>
      <c r="K412" s="166" t="n"/>
      <c r="L412" s="166" t="n"/>
    </row>
    <row r="413">
      <c r="D413" s="173" t="n"/>
      <c r="E413" s="164" t="n"/>
      <c r="F413" s="164" t="n"/>
      <c r="G413" s="164" t="n"/>
      <c r="H413" s="164" t="n"/>
      <c r="I413" s="169" t="n"/>
      <c r="J413" s="166" t="n"/>
      <c r="K413" s="166" t="n"/>
      <c r="L413" s="166" t="n"/>
    </row>
    <row r="414">
      <c r="D414" s="173" t="n"/>
      <c r="E414" s="164" t="n"/>
      <c r="F414" s="164" t="n"/>
      <c r="G414" s="164" t="n"/>
      <c r="H414" s="164" t="n"/>
      <c r="I414" s="169" t="n"/>
      <c r="J414" s="166" t="n"/>
      <c r="K414" s="166" t="n"/>
      <c r="L414" s="166" t="n"/>
    </row>
    <row r="415">
      <c r="D415" s="173" t="n"/>
      <c r="E415" s="164" t="n"/>
      <c r="F415" s="164" t="n"/>
      <c r="G415" s="164" t="n"/>
      <c r="H415" s="164" t="n"/>
      <c r="I415" s="169" t="n"/>
      <c r="J415" s="166" t="n"/>
      <c r="K415" s="166" t="n"/>
      <c r="L415" s="166" t="n"/>
    </row>
    <row r="416">
      <c r="D416" s="173" t="n"/>
      <c r="E416" s="164" t="n"/>
      <c r="F416" s="164" t="n"/>
      <c r="G416" s="164" t="n"/>
      <c r="H416" s="164" t="n"/>
      <c r="I416" s="169" t="n"/>
      <c r="J416" s="166" t="n"/>
      <c r="K416" s="166" t="n"/>
      <c r="L416" s="166" t="n"/>
    </row>
    <row r="417">
      <c r="D417" s="173" t="n"/>
      <c r="E417" s="164" t="n"/>
      <c r="F417" s="164" t="n"/>
      <c r="G417" s="164" t="n"/>
      <c r="H417" s="164" t="n"/>
      <c r="I417" s="169" t="n"/>
      <c r="J417" s="166" t="n"/>
      <c r="K417" s="166" t="n"/>
      <c r="L417" s="166" t="n"/>
    </row>
    <row r="418">
      <c r="D418" s="173" t="n"/>
      <c r="E418" s="164" t="n"/>
      <c r="F418" s="164" t="n"/>
      <c r="G418" s="164" t="n"/>
      <c r="H418" s="164" t="n"/>
      <c r="I418" s="169" t="n"/>
      <c r="J418" s="166" t="n"/>
      <c r="K418" s="166" t="n"/>
      <c r="L418" s="166" t="n"/>
    </row>
    <row r="419">
      <c r="D419" s="173" t="n"/>
      <c r="E419" s="164" t="n"/>
      <c r="F419" s="164" t="n"/>
      <c r="G419" s="164" t="n"/>
      <c r="H419" s="164" t="n"/>
      <c r="I419" s="169" t="n"/>
      <c r="J419" s="166" t="n"/>
      <c r="K419" s="166" t="n"/>
      <c r="L419" s="166" t="n"/>
    </row>
    <row r="420">
      <c r="D420" s="173" t="n"/>
      <c r="E420" s="164" t="n"/>
      <c r="F420" s="164" t="n"/>
      <c r="G420" s="164" t="n"/>
      <c r="H420" s="164" t="n"/>
      <c r="I420" s="169" t="n"/>
      <c r="J420" s="166" t="n"/>
      <c r="K420" s="166" t="n"/>
      <c r="L420" s="166" t="n"/>
    </row>
    <row r="421">
      <c r="D421" s="173" t="n"/>
      <c r="E421" s="164" t="n"/>
      <c r="F421" s="164" t="n"/>
      <c r="G421" s="164" t="n"/>
      <c r="H421" s="164" t="n"/>
      <c r="I421" s="169" t="n"/>
      <c r="J421" s="166" t="n"/>
      <c r="K421" s="166" t="n"/>
      <c r="L421" s="166" t="n"/>
    </row>
    <row r="422">
      <c r="D422" s="173" t="n"/>
      <c r="E422" s="164" t="n"/>
      <c r="F422" s="164" t="n"/>
      <c r="G422" s="164" t="n"/>
      <c r="H422" s="164" t="n"/>
      <c r="I422" s="169" t="n"/>
      <c r="J422" s="166" t="n"/>
      <c r="K422" s="166" t="n"/>
      <c r="L422" s="166" t="n"/>
    </row>
    <row r="423">
      <c r="D423" s="173" t="n"/>
      <c r="E423" s="164" t="n"/>
      <c r="F423" s="164" t="n"/>
      <c r="G423" s="164" t="n"/>
      <c r="H423" s="164" t="n"/>
      <c r="I423" s="169" t="n"/>
      <c r="J423" s="166" t="n"/>
      <c r="K423" s="166" t="n"/>
      <c r="L423" s="166" t="n"/>
    </row>
    <row r="424">
      <c r="D424" s="173" t="n"/>
      <c r="E424" s="164" t="n"/>
      <c r="F424" s="164" t="n"/>
      <c r="G424" s="164" t="n"/>
      <c r="H424" s="164" t="n"/>
      <c r="I424" s="169" t="n"/>
      <c r="J424" s="166" t="n"/>
      <c r="K424" s="166" t="n"/>
      <c r="L424" s="166" t="n"/>
    </row>
    <row r="425">
      <c r="D425" s="173" t="n"/>
      <c r="E425" s="164" t="n"/>
      <c r="F425" s="164" t="n"/>
      <c r="G425" s="164" t="n"/>
      <c r="H425" s="164" t="n"/>
      <c r="I425" s="169" t="n"/>
      <c r="J425" s="166" t="n"/>
      <c r="K425" s="166" t="n"/>
      <c r="L425" s="166" t="n"/>
    </row>
    <row r="426">
      <c r="D426" s="173" t="n"/>
      <c r="E426" s="164" t="n"/>
      <c r="F426" s="164" t="n"/>
      <c r="G426" s="164" t="n"/>
      <c r="H426" s="164" t="n"/>
      <c r="I426" s="169" t="n"/>
      <c r="J426" s="166" t="n"/>
      <c r="K426" s="166" t="n"/>
      <c r="L426" s="166" t="n"/>
    </row>
    <row r="427">
      <c r="D427" s="173" t="n"/>
      <c r="E427" s="164" t="n"/>
      <c r="F427" s="164" t="n"/>
      <c r="G427" s="164" t="n"/>
      <c r="H427" s="164" t="n"/>
      <c r="I427" s="169" t="n"/>
      <c r="J427" s="166" t="n"/>
      <c r="K427" s="166" t="n"/>
      <c r="L427" s="166" t="n"/>
    </row>
    <row r="428">
      <c r="D428" s="173" t="n"/>
      <c r="E428" s="164" t="n"/>
      <c r="F428" s="164" t="n"/>
      <c r="G428" s="164" t="n"/>
      <c r="H428" s="164" t="n"/>
      <c r="I428" s="169" t="n"/>
      <c r="J428" s="166" t="n"/>
      <c r="K428" s="166" t="n"/>
      <c r="L428" s="166" t="n"/>
    </row>
    <row r="429">
      <c r="D429" s="173" t="n"/>
      <c r="E429" s="164" t="n"/>
      <c r="F429" s="164" t="n"/>
      <c r="G429" s="164" t="n"/>
      <c r="H429" s="164" t="n"/>
      <c r="I429" s="169" t="n"/>
      <c r="J429" s="166" t="n"/>
      <c r="K429" s="166" t="n"/>
      <c r="L429" s="166" t="n"/>
    </row>
    <row r="430">
      <c r="D430" s="173" t="n"/>
      <c r="E430" s="164" t="n"/>
      <c r="F430" s="164" t="n"/>
      <c r="G430" s="164" t="n"/>
      <c r="H430" s="164" t="n"/>
      <c r="I430" s="169" t="n"/>
      <c r="J430" s="166" t="n"/>
      <c r="K430" s="166" t="n"/>
      <c r="L430" s="166" t="n"/>
    </row>
    <row r="431">
      <c r="D431" s="173" t="n"/>
      <c r="E431" s="164" t="n"/>
      <c r="F431" s="164" t="n"/>
      <c r="G431" s="164" t="n"/>
      <c r="H431" s="164" t="n"/>
      <c r="I431" s="169" t="n"/>
      <c r="J431" s="166" t="n"/>
      <c r="K431" s="166" t="n"/>
      <c r="L431" s="166" t="n"/>
    </row>
    <row r="432">
      <c r="D432" s="173" t="n"/>
      <c r="E432" s="164" t="n"/>
      <c r="F432" s="164" t="n"/>
      <c r="G432" s="164" t="n"/>
      <c r="H432" s="164" t="n"/>
      <c r="I432" s="169" t="n"/>
      <c r="J432" s="166" t="n"/>
      <c r="K432" s="166" t="n"/>
      <c r="L432" s="166" t="n"/>
    </row>
    <row r="433">
      <c r="D433" s="173" t="n"/>
      <c r="E433" s="164" t="n"/>
      <c r="F433" s="164" t="n"/>
      <c r="G433" s="164" t="n"/>
      <c r="H433" s="164" t="n"/>
      <c r="I433" s="169" t="n"/>
      <c r="J433" s="166" t="n"/>
      <c r="K433" s="166" t="n"/>
      <c r="L433" s="166" t="n"/>
    </row>
    <row r="434">
      <c r="D434" s="173" t="n"/>
      <c r="E434" s="164" t="n"/>
      <c r="F434" s="164" t="n"/>
      <c r="G434" s="164" t="n"/>
      <c r="H434" s="164" t="n"/>
      <c r="I434" s="169" t="n"/>
      <c r="J434" s="166" t="n"/>
      <c r="K434" s="166" t="n"/>
      <c r="L434" s="166" t="n"/>
    </row>
    <row r="435">
      <c r="D435" s="173" t="n"/>
      <c r="E435" s="164" t="n"/>
      <c r="F435" s="164" t="n"/>
      <c r="G435" s="164" t="n"/>
      <c r="H435" s="164" t="n"/>
      <c r="I435" s="169" t="n"/>
      <c r="J435" s="166" t="n"/>
      <c r="K435" s="166" t="n"/>
      <c r="L435" s="166" t="n"/>
    </row>
    <row r="436">
      <c r="D436" s="173" t="n"/>
      <c r="E436" s="164" t="n"/>
      <c r="F436" s="164" t="n"/>
      <c r="G436" s="164" t="n"/>
      <c r="H436" s="164" t="n"/>
      <c r="I436" s="169" t="n"/>
      <c r="J436" s="166" t="n"/>
      <c r="K436" s="166" t="n"/>
      <c r="L436" s="166" t="n"/>
    </row>
    <row r="437">
      <c r="D437" s="173" t="n"/>
      <c r="E437" s="164" t="n"/>
      <c r="F437" s="164" t="n"/>
      <c r="G437" s="164" t="n"/>
      <c r="H437" s="164" t="n"/>
      <c r="I437" s="169" t="n"/>
      <c r="J437" s="166" t="n"/>
      <c r="K437" s="166" t="n"/>
      <c r="L437" s="166" t="n"/>
    </row>
    <row r="438">
      <c r="D438" s="173" t="n"/>
      <c r="E438" s="164" t="n"/>
      <c r="F438" s="164" t="n"/>
      <c r="G438" s="164" t="n"/>
      <c r="H438" s="164" t="n"/>
      <c r="I438" s="169" t="n"/>
      <c r="J438" s="166" t="n"/>
      <c r="K438" s="166" t="n"/>
      <c r="L438" s="166" t="n"/>
    </row>
    <row r="439">
      <c r="D439" s="173" t="n"/>
      <c r="E439" s="164" t="n"/>
      <c r="F439" s="164" t="n"/>
      <c r="G439" s="164" t="n"/>
      <c r="H439" s="164" t="n"/>
      <c r="I439" s="169" t="n"/>
      <c r="J439" s="166" t="n"/>
      <c r="K439" s="166" t="n"/>
      <c r="L439" s="166" t="n"/>
    </row>
    <row r="440">
      <c r="D440" s="173" t="n"/>
      <c r="E440" s="164" t="n"/>
      <c r="F440" s="164" t="n"/>
      <c r="G440" s="164" t="n"/>
      <c r="H440" s="164" t="n"/>
      <c r="I440" s="169" t="n"/>
      <c r="J440" s="166" t="n"/>
      <c r="K440" s="166" t="n"/>
      <c r="L440" s="166" t="n"/>
    </row>
    <row r="441">
      <c r="D441" s="173" t="n"/>
      <c r="E441" s="164" t="n"/>
      <c r="F441" s="164" t="n"/>
      <c r="G441" s="164" t="n"/>
      <c r="H441" s="164" t="n"/>
      <c r="I441" s="169" t="n"/>
      <c r="J441" s="166" t="n"/>
      <c r="K441" s="166" t="n"/>
      <c r="L441" s="166" t="n"/>
    </row>
    <row r="442">
      <c r="D442" s="173" t="n"/>
      <c r="E442" s="164" t="n"/>
      <c r="F442" s="164" t="n"/>
      <c r="G442" s="164" t="n"/>
      <c r="H442" s="164" t="n"/>
      <c r="I442" s="169" t="n"/>
      <c r="J442" s="166" t="n"/>
      <c r="K442" s="166" t="n"/>
      <c r="L442" s="166" t="n"/>
    </row>
    <row r="443">
      <c r="D443" s="173" t="n"/>
      <c r="E443" s="164" t="n"/>
      <c r="F443" s="164" t="n"/>
      <c r="G443" s="164" t="n"/>
      <c r="H443" s="164" t="n"/>
      <c r="I443" s="169" t="n"/>
      <c r="J443" s="166" t="n"/>
      <c r="K443" s="166" t="n"/>
      <c r="L443" s="166" t="n"/>
    </row>
    <row r="444">
      <c r="D444" s="173" t="n"/>
      <c r="E444" s="164" t="n"/>
      <c r="F444" s="164" t="n"/>
      <c r="G444" s="164" t="n"/>
      <c r="H444" s="164" t="n"/>
      <c r="I444" s="169" t="n"/>
      <c r="J444" s="166" t="n"/>
      <c r="K444" s="166" t="n"/>
      <c r="L444" s="166" t="n"/>
    </row>
    <row r="445">
      <c r="D445" s="173" t="n"/>
      <c r="E445" s="164" t="n"/>
      <c r="F445" s="164" t="n"/>
      <c r="G445" s="164" t="n"/>
      <c r="H445" s="164" t="n"/>
      <c r="I445" s="169" t="n"/>
      <c r="J445" s="166" t="n"/>
      <c r="K445" s="166" t="n"/>
      <c r="L445" s="166" t="n"/>
    </row>
    <row r="446">
      <c r="D446" s="173" t="n"/>
      <c r="E446" s="164" t="n"/>
      <c r="F446" s="164" t="n"/>
      <c r="G446" s="164" t="n"/>
      <c r="H446" s="164" t="n"/>
      <c r="I446" s="169" t="n"/>
      <c r="J446" s="166" t="n"/>
      <c r="K446" s="166" t="n"/>
      <c r="L446" s="166" t="n"/>
    </row>
    <row r="447">
      <c r="D447" s="173" t="n"/>
      <c r="E447" s="164" t="n"/>
      <c r="F447" s="164" t="n"/>
      <c r="G447" s="164" t="n"/>
      <c r="H447" s="164" t="n"/>
      <c r="I447" s="169" t="n"/>
      <c r="J447" s="166" t="n"/>
      <c r="K447" s="166" t="n"/>
      <c r="L447" s="166" t="n"/>
    </row>
    <row r="448">
      <c r="D448" s="173" t="n"/>
      <c r="E448" s="164" t="n"/>
      <c r="F448" s="164" t="n"/>
      <c r="G448" s="164" t="n"/>
      <c r="H448" s="164" t="n"/>
      <c r="I448" s="169" t="n"/>
      <c r="J448" s="166" t="n"/>
      <c r="K448" s="166" t="n"/>
      <c r="L448" s="166" t="n"/>
    </row>
    <row r="449">
      <c r="D449" s="173" t="n"/>
      <c r="E449" s="164" t="n"/>
      <c r="F449" s="164" t="n"/>
      <c r="G449" s="164" t="n"/>
      <c r="H449" s="164" t="n"/>
      <c r="I449" s="169" t="n"/>
      <c r="J449" s="166" t="n"/>
      <c r="K449" s="166" t="n"/>
      <c r="L449" s="166" t="n"/>
    </row>
    <row r="450">
      <c r="D450" s="173" t="n"/>
      <c r="E450" s="164" t="n"/>
      <c r="F450" s="164" t="n"/>
      <c r="G450" s="164" t="n"/>
      <c r="H450" s="164" t="n"/>
      <c r="I450" s="169" t="n"/>
      <c r="J450" s="166" t="n"/>
      <c r="K450" s="166" t="n"/>
      <c r="L450" s="166" t="n"/>
    </row>
    <row r="451">
      <c r="D451" s="173" t="n"/>
      <c r="E451" s="164" t="n"/>
      <c r="F451" s="164" t="n"/>
      <c r="G451" s="164" t="n"/>
      <c r="H451" s="164" t="n"/>
      <c r="I451" s="169" t="n"/>
      <c r="J451" s="166" t="n"/>
      <c r="K451" s="166" t="n"/>
      <c r="L451" s="166" t="n"/>
    </row>
    <row r="452">
      <c r="D452" s="173" t="n"/>
      <c r="E452" s="164" t="n"/>
      <c r="F452" s="164" t="n"/>
      <c r="G452" s="164" t="n"/>
      <c r="H452" s="164" t="n"/>
      <c r="I452" s="169" t="n"/>
      <c r="J452" s="166" t="n"/>
      <c r="K452" s="166" t="n"/>
      <c r="L452" s="166" t="n"/>
    </row>
    <row r="453">
      <c r="D453" s="173" t="n"/>
      <c r="E453" s="164" t="n"/>
      <c r="F453" s="164" t="n"/>
      <c r="G453" s="164" t="n"/>
      <c r="H453" s="164" t="n"/>
      <c r="I453" s="169" t="n"/>
      <c r="J453" s="166" t="n"/>
      <c r="K453" s="166" t="n"/>
      <c r="L453" s="166" t="n"/>
    </row>
    <row r="454">
      <c r="D454" s="173" t="n"/>
      <c r="E454" s="164" t="n"/>
      <c r="F454" s="164" t="n"/>
      <c r="G454" s="164" t="n"/>
      <c r="H454" s="164" t="n"/>
      <c r="I454" s="169" t="n"/>
      <c r="J454" s="166" t="n"/>
      <c r="K454" s="166" t="n"/>
      <c r="L454" s="166" t="n"/>
    </row>
    <row r="455">
      <c r="D455" s="173" t="n"/>
      <c r="E455" s="164" t="n"/>
      <c r="F455" s="164" t="n"/>
      <c r="G455" s="164" t="n"/>
      <c r="H455" s="164" t="n"/>
      <c r="I455" s="169" t="n"/>
      <c r="J455" s="166" t="n"/>
      <c r="K455" s="166" t="n"/>
      <c r="L455" s="166" t="n"/>
    </row>
    <row r="456">
      <c r="D456" s="173" t="n"/>
      <c r="E456" s="164" t="n"/>
      <c r="F456" s="164" t="n"/>
      <c r="G456" s="164" t="n"/>
      <c r="H456" s="164" t="n"/>
      <c r="I456" s="169" t="n"/>
      <c r="J456" s="166" t="n"/>
      <c r="K456" s="166" t="n"/>
      <c r="L456" s="166" t="n"/>
    </row>
    <row r="457">
      <c r="D457" s="173" t="n"/>
      <c r="E457" s="164" t="n"/>
      <c r="F457" s="164" t="n"/>
      <c r="G457" s="164" t="n"/>
      <c r="H457" s="164" t="n"/>
      <c r="I457" s="169" t="n"/>
      <c r="J457" s="166" t="n"/>
      <c r="K457" s="166" t="n"/>
      <c r="L457" s="166" t="n"/>
    </row>
    <row r="458">
      <c r="D458" s="173" t="n"/>
      <c r="E458" s="164" t="n"/>
      <c r="F458" s="164" t="n"/>
      <c r="G458" s="164" t="n"/>
      <c r="H458" s="164" t="n"/>
      <c r="I458" s="169" t="n"/>
      <c r="J458" s="166" t="n"/>
      <c r="K458" s="166" t="n"/>
      <c r="L458" s="166" t="n"/>
    </row>
    <row r="459">
      <c r="D459" s="173" t="n"/>
      <c r="E459" s="164" t="n"/>
      <c r="F459" s="164" t="n"/>
      <c r="G459" s="164" t="n"/>
      <c r="H459" s="164" t="n"/>
      <c r="I459" s="169" t="n"/>
      <c r="J459" s="166" t="n"/>
      <c r="K459" s="166" t="n"/>
      <c r="L459" s="166" t="n"/>
    </row>
    <row r="460">
      <c r="D460" s="173" t="n"/>
      <c r="E460" s="164" t="n"/>
      <c r="F460" s="164" t="n"/>
      <c r="G460" s="164" t="n"/>
      <c r="H460" s="164" t="n"/>
      <c r="I460" s="169" t="n"/>
      <c r="J460" s="166" t="n"/>
      <c r="K460" s="166" t="n"/>
      <c r="L460" s="166" t="n"/>
    </row>
    <row r="461">
      <c r="D461" s="173" t="n"/>
      <c r="E461" s="164" t="n"/>
      <c r="F461" s="164" t="n"/>
      <c r="G461" s="164" t="n"/>
      <c r="H461" s="164" t="n"/>
      <c r="I461" s="169" t="n"/>
      <c r="J461" s="166" t="n"/>
      <c r="K461" s="166" t="n"/>
      <c r="L461" s="166" t="n"/>
    </row>
    <row r="462">
      <c r="D462" s="173" t="n"/>
      <c r="E462" s="164" t="n"/>
      <c r="F462" s="164" t="n"/>
      <c r="G462" s="164" t="n"/>
      <c r="H462" s="164" t="n"/>
      <c r="I462" s="169" t="n"/>
      <c r="J462" s="166" t="n"/>
      <c r="K462" s="166" t="n"/>
      <c r="L462" s="166" t="n"/>
    </row>
    <row r="463">
      <c r="D463" s="173" t="n"/>
      <c r="E463" s="164" t="n"/>
      <c r="F463" s="164" t="n"/>
      <c r="G463" s="164" t="n"/>
      <c r="H463" s="164" t="n"/>
      <c r="I463" s="169" t="n"/>
      <c r="J463" s="166" t="n"/>
      <c r="K463" s="166" t="n"/>
      <c r="L463" s="166" t="n"/>
    </row>
    <row r="464">
      <c r="D464" s="173" t="n"/>
      <c r="E464" s="164" t="n"/>
      <c r="F464" s="164" t="n"/>
      <c r="G464" s="164" t="n"/>
      <c r="H464" s="164" t="n"/>
      <c r="I464" s="169" t="n"/>
      <c r="J464" s="166" t="n"/>
      <c r="K464" s="166" t="n"/>
      <c r="L464" s="166" t="n"/>
    </row>
    <row r="465">
      <c r="D465" s="173" t="n"/>
      <c r="E465" s="164" t="n"/>
      <c r="F465" s="164" t="n"/>
      <c r="G465" s="164" t="n"/>
      <c r="H465" s="164" t="n"/>
      <c r="I465" s="169" t="n"/>
      <c r="J465" s="166" t="n"/>
      <c r="K465" s="166" t="n"/>
      <c r="L465" s="166" t="n"/>
    </row>
    <row r="466">
      <c r="D466" s="173" t="n"/>
      <c r="E466" s="164" t="n"/>
      <c r="F466" s="164" t="n"/>
      <c r="G466" s="164" t="n"/>
      <c r="H466" s="164" t="n"/>
      <c r="I466" s="169" t="n"/>
      <c r="J466" s="166" t="n"/>
      <c r="K466" s="166" t="n"/>
      <c r="L466" s="166" t="n"/>
    </row>
    <row r="467">
      <c r="D467" s="173" t="n"/>
      <c r="E467" s="164" t="n"/>
      <c r="F467" s="164" t="n"/>
      <c r="G467" s="164" t="n"/>
      <c r="H467" s="164" t="n"/>
      <c r="I467" s="169" t="n"/>
      <c r="J467" s="166" t="n"/>
      <c r="K467" s="166" t="n"/>
      <c r="L467" s="166" t="n"/>
    </row>
    <row r="468">
      <c r="D468" s="173" t="n"/>
      <c r="E468" s="164" t="n"/>
      <c r="F468" s="164" t="n"/>
      <c r="G468" s="164" t="n"/>
      <c r="H468" s="164" t="n"/>
      <c r="I468" s="169" t="n"/>
      <c r="J468" s="166" t="n"/>
      <c r="K468" s="166" t="n"/>
      <c r="L468" s="166" t="n"/>
    </row>
    <row r="469">
      <c r="D469" s="173" t="n"/>
      <c r="E469" s="164" t="n"/>
      <c r="F469" s="164" t="n"/>
      <c r="G469" s="164" t="n"/>
      <c r="H469" s="164" t="n"/>
      <c r="I469" s="169" t="n"/>
      <c r="J469" s="166" t="n"/>
      <c r="K469" s="166" t="n"/>
      <c r="L469" s="166" t="n"/>
    </row>
    <row r="470">
      <c r="D470" s="173" t="n"/>
      <c r="E470" s="164" t="n"/>
      <c r="F470" s="164" t="n"/>
      <c r="G470" s="164" t="n"/>
      <c r="H470" s="164" t="n"/>
      <c r="I470" s="169" t="n"/>
      <c r="J470" s="166" t="n"/>
      <c r="K470" s="166" t="n"/>
      <c r="L470" s="166" t="n"/>
    </row>
    <row r="471">
      <c r="D471" s="173" t="n"/>
      <c r="E471" s="164" t="n"/>
      <c r="F471" s="164" t="n"/>
      <c r="G471" s="164" t="n"/>
      <c r="H471" s="164" t="n"/>
      <c r="I471" s="169" t="n"/>
      <c r="J471" s="166" t="n"/>
      <c r="K471" s="166" t="n"/>
      <c r="L471" s="166" t="n"/>
    </row>
    <row r="472">
      <c r="D472" s="173" t="n"/>
      <c r="E472" s="164" t="n"/>
      <c r="F472" s="164" t="n"/>
      <c r="G472" s="164" t="n"/>
      <c r="H472" s="164" t="n"/>
      <c r="I472" s="169" t="n"/>
      <c r="J472" s="166" t="n"/>
      <c r="K472" s="166" t="n"/>
      <c r="L472" s="166" t="n"/>
    </row>
    <row r="473">
      <c r="D473" s="173" t="n"/>
      <c r="E473" s="164" t="n"/>
      <c r="F473" s="164" t="n"/>
      <c r="G473" s="164" t="n"/>
      <c r="H473" s="164" t="n"/>
      <c r="I473" s="169" t="n"/>
      <c r="J473" s="166" t="n"/>
      <c r="K473" s="166" t="n"/>
      <c r="L473" s="166" t="n"/>
    </row>
    <row r="474">
      <c r="D474" s="173" t="n"/>
      <c r="E474" s="164" t="n"/>
      <c r="F474" s="164" t="n"/>
      <c r="G474" s="164" t="n"/>
      <c r="H474" s="164" t="n"/>
      <c r="I474" s="169" t="n"/>
      <c r="J474" s="166" t="n"/>
      <c r="K474" s="166" t="n"/>
      <c r="L474" s="166" t="n"/>
    </row>
    <row r="475">
      <c r="D475" s="173" t="n"/>
      <c r="E475" s="164" t="n"/>
      <c r="F475" s="164" t="n"/>
      <c r="G475" s="164" t="n"/>
      <c r="H475" s="164" t="n"/>
      <c r="I475" s="169" t="n"/>
      <c r="J475" s="166" t="n"/>
      <c r="K475" s="166" t="n"/>
      <c r="L475" s="166" t="n"/>
    </row>
    <row r="476">
      <c r="D476" s="173" t="n"/>
      <c r="E476" s="164" t="n"/>
      <c r="F476" s="164" t="n"/>
      <c r="G476" s="164" t="n"/>
      <c r="H476" s="164" t="n"/>
      <c r="I476" s="169" t="n"/>
      <c r="J476" s="166" t="n"/>
      <c r="K476" s="166" t="n"/>
      <c r="L476" s="166" t="n"/>
    </row>
    <row r="477">
      <c r="D477" s="173" t="n"/>
      <c r="E477" s="164" t="n"/>
      <c r="F477" s="164" t="n"/>
      <c r="G477" s="164" t="n"/>
      <c r="H477" s="164" t="n"/>
      <c r="I477" s="169" t="n"/>
      <c r="J477" s="166" t="n"/>
      <c r="K477" s="166" t="n"/>
      <c r="L477" s="166" t="n"/>
    </row>
    <row r="478">
      <c r="D478" s="173" t="n"/>
      <c r="E478" s="164" t="n"/>
      <c r="F478" s="164" t="n"/>
      <c r="G478" s="164" t="n"/>
      <c r="H478" s="164" t="n"/>
      <c r="I478" s="169" t="n"/>
      <c r="J478" s="166" t="n"/>
      <c r="K478" s="166" t="n"/>
      <c r="L478" s="166" t="n"/>
    </row>
    <row r="479">
      <c r="D479" s="173" t="n"/>
      <c r="E479" s="164" t="n"/>
      <c r="F479" s="164" t="n"/>
      <c r="G479" s="164" t="n"/>
      <c r="H479" s="164" t="n"/>
      <c r="I479" s="169" t="n"/>
      <c r="J479" s="166" t="n"/>
      <c r="K479" s="166" t="n"/>
      <c r="L479" s="166" t="n"/>
    </row>
    <row r="480">
      <c r="D480" s="173" t="n"/>
      <c r="E480" s="164" t="n"/>
      <c r="F480" s="164" t="n"/>
      <c r="G480" s="164" t="n"/>
      <c r="H480" s="164" t="n"/>
      <c r="I480" s="169" t="n"/>
      <c r="J480" s="166" t="n"/>
      <c r="K480" s="166" t="n"/>
      <c r="L480" s="166" t="n"/>
    </row>
    <row r="481">
      <c r="D481" s="173" t="n"/>
      <c r="E481" s="164" t="n"/>
      <c r="F481" s="164" t="n"/>
      <c r="G481" s="164" t="n"/>
      <c r="H481" s="164" t="n"/>
      <c r="I481" s="169" t="n"/>
      <c r="J481" s="166" t="n"/>
      <c r="K481" s="166" t="n"/>
      <c r="L481" s="166" t="n"/>
    </row>
    <row r="482">
      <c r="D482" s="173" t="n"/>
      <c r="E482" s="164" t="n"/>
      <c r="F482" s="164" t="n"/>
      <c r="G482" s="164" t="n"/>
      <c r="H482" s="164" t="n"/>
      <c r="I482" s="169" t="n"/>
      <c r="J482" s="166" t="n"/>
      <c r="K482" s="166" t="n"/>
      <c r="L482" s="166" t="n"/>
    </row>
    <row r="483">
      <c r="D483" s="173" t="n"/>
      <c r="E483" s="164" t="n"/>
      <c r="F483" s="164" t="n"/>
      <c r="G483" s="164" t="n"/>
      <c r="H483" s="164" t="n"/>
      <c r="I483" s="169" t="n"/>
      <c r="J483" s="166" t="n"/>
      <c r="K483" s="166" t="n"/>
      <c r="L483" s="166" t="n"/>
    </row>
    <row r="484">
      <c r="D484" s="173" t="n"/>
      <c r="E484" s="164" t="n"/>
      <c r="F484" s="164" t="n"/>
      <c r="G484" s="164" t="n"/>
      <c r="H484" s="164" t="n"/>
      <c r="I484" s="169" t="n"/>
      <c r="J484" s="166" t="n"/>
      <c r="K484" s="166" t="n"/>
      <c r="L484" s="166" t="n"/>
    </row>
    <row r="485">
      <c r="D485" s="173" t="n"/>
      <c r="E485" s="164" t="n"/>
      <c r="F485" s="164" t="n"/>
      <c r="G485" s="164" t="n"/>
      <c r="H485" s="164" t="n"/>
      <c r="I485" s="169" t="n"/>
      <c r="J485" s="166" t="n"/>
      <c r="K485" s="166" t="n"/>
      <c r="L485" s="166" t="n"/>
    </row>
    <row r="486">
      <c r="D486" s="173" t="n"/>
      <c r="E486" s="164" t="n"/>
      <c r="F486" s="164" t="n"/>
      <c r="G486" s="164" t="n"/>
      <c r="H486" s="164" t="n"/>
      <c r="I486" s="169" t="n"/>
      <c r="J486" s="166" t="n"/>
      <c r="K486" s="166" t="n"/>
      <c r="L486" s="166" t="n"/>
    </row>
    <row r="487">
      <c r="D487" s="173" t="n"/>
      <c r="E487" s="164" t="n"/>
      <c r="F487" s="164" t="n"/>
      <c r="G487" s="164" t="n"/>
      <c r="H487" s="164" t="n"/>
      <c r="I487" s="169" t="n"/>
      <c r="J487" s="166" t="n"/>
      <c r="K487" s="166" t="n"/>
      <c r="L487" s="166" t="n"/>
    </row>
    <row r="488">
      <c r="D488" s="173" t="n"/>
      <c r="E488" s="164" t="n"/>
      <c r="F488" s="164" t="n"/>
      <c r="G488" s="164" t="n"/>
      <c r="H488" s="164" t="n"/>
      <c r="I488" s="169" t="n"/>
      <c r="J488" s="166" t="n"/>
      <c r="K488" s="166" t="n"/>
      <c r="L488" s="166" t="n"/>
    </row>
    <row r="489">
      <c r="D489" s="173" t="n"/>
      <c r="E489" s="164" t="n"/>
      <c r="F489" s="164" t="n"/>
      <c r="G489" s="164" t="n"/>
      <c r="H489" s="164" t="n"/>
      <c r="I489" s="169" t="n"/>
      <c r="J489" s="166" t="n"/>
      <c r="K489" s="166" t="n"/>
      <c r="L489" s="166" t="n"/>
    </row>
    <row r="490">
      <c r="D490" s="173" t="n"/>
      <c r="E490" s="164" t="n"/>
      <c r="F490" s="164" t="n"/>
      <c r="G490" s="164" t="n"/>
      <c r="H490" s="164" t="n"/>
      <c r="I490" s="169" t="n"/>
      <c r="J490" s="166" t="n"/>
      <c r="K490" s="166" t="n"/>
      <c r="L490" s="166" t="n"/>
    </row>
    <row r="491">
      <c r="D491" s="173" t="n"/>
      <c r="E491" s="164" t="n"/>
      <c r="F491" s="164" t="n"/>
      <c r="G491" s="164" t="n"/>
      <c r="H491" s="164" t="n"/>
      <c r="I491" s="169" t="n"/>
      <c r="J491" s="166" t="n"/>
      <c r="K491" s="166" t="n"/>
      <c r="L491" s="166" t="n"/>
    </row>
    <row r="492">
      <c r="D492" s="173" t="n"/>
      <c r="E492" s="164" t="n"/>
      <c r="F492" s="164" t="n"/>
      <c r="G492" s="164" t="n"/>
      <c r="H492" s="164" t="n"/>
      <c r="I492" s="169" t="n"/>
      <c r="J492" s="166" t="n"/>
      <c r="K492" s="166" t="n"/>
      <c r="L492" s="166" t="n"/>
    </row>
    <row r="493">
      <c r="D493" s="173" t="n"/>
      <c r="E493" s="164" t="n"/>
      <c r="F493" s="164" t="n"/>
      <c r="G493" s="164" t="n"/>
      <c r="H493" s="164" t="n"/>
      <c r="I493" s="169" t="n"/>
      <c r="J493" s="166" t="n"/>
      <c r="K493" s="166" t="n"/>
      <c r="L493" s="166" t="n"/>
    </row>
    <row r="494">
      <c r="D494" s="173" t="n"/>
      <c r="E494" s="164" t="n"/>
      <c r="F494" s="164" t="n"/>
      <c r="G494" s="164" t="n"/>
      <c r="H494" s="164" t="n"/>
      <c r="I494" s="169" t="n"/>
      <c r="J494" s="166" t="n"/>
      <c r="K494" s="166" t="n"/>
      <c r="L494" s="166" t="n"/>
    </row>
    <row r="495">
      <c r="D495" s="173" t="n"/>
      <c r="E495" s="164" t="n"/>
      <c r="F495" s="164" t="n"/>
      <c r="G495" s="164" t="n"/>
      <c r="H495" s="164" t="n"/>
      <c r="I495" s="169" t="n"/>
      <c r="J495" s="166" t="n"/>
      <c r="K495" s="166" t="n"/>
      <c r="L495" s="166" t="n"/>
    </row>
    <row r="496">
      <c r="D496" s="173" t="n"/>
      <c r="E496" s="164" t="n"/>
      <c r="F496" s="164" t="n"/>
      <c r="G496" s="164" t="n"/>
      <c r="H496" s="164" t="n"/>
      <c r="I496" s="169" t="n"/>
      <c r="J496" s="166" t="n"/>
      <c r="K496" s="166" t="n"/>
      <c r="L496" s="166" t="n"/>
    </row>
    <row r="497">
      <c r="D497" s="173" t="n"/>
      <c r="E497" s="164" t="n"/>
      <c r="F497" s="164" t="n"/>
      <c r="G497" s="164" t="n"/>
      <c r="H497" s="164" t="n"/>
      <c r="I497" s="169" t="n"/>
      <c r="J497" s="166" t="n"/>
      <c r="K497" s="166" t="n"/>
      <c r="L497" s="166" t="n"/>
    </row>
    <row r="498">
      <c r="D498" s="173" t="n"/>
      <c r="E498" s="164" t="n"/>
      <c r="F498" s="164" t="n"/>
      <c r="G498" s="164" t="n"/>
      <c r="H498" s="164" t="n"/>
      <c r="I498" s="169" t="n"/>
      <c r="J498" s="166" t="n"/>
      <c r="K498" s="166" t="n"/>
      <c r="L498" s="166" t="n"/>
    </row>
    <row r="499">
      <c r="D499" s="173" t="n"/>
      <c r="E499" s="164" t="n"/>
      <c r="F499" s="164" t="n"/>
      <c r="G499" s="164" t="n"/>
      <c r="H499" s="164" t="n"/>
      <c r="I499" s="169" t="n"/>
      <c r="J499" s="166" t="n"/>
      <c r="K499" s="166" t="n"/>
      <c r="L499" s="166" t="n"/>
    </row>
    <row r="500">
      <c r="D500" s="173" t="n"/>
      <c r="E500" s="164" t="n"/>
      <c r="F500" s="164" t="n"/>
      <c r="G500" s="164" t="n"/>
      <c r="H500" s="164" t="n"/>
      <c r="I500" s="169" t="n"/>
      <c r="J500" s="166" t="n"/>
      <c r="K500" s="166" t="n"/>
      <c r="L500" s="166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/>
  <autoFilter ref="D3:L500"/>
  <mergeCells count="2">
    <mergeCell ref="A13:B14"/>
    <mergeCell ref="A1:L1"/>
  </mergeCells>
  <dataValidations count="1">
    <dataValidation sqref="B5" showDropDown="0" showInputMessage="0" showErrorMessage="0" allowBlank="0" type="list">
      <formula1>'BASE ARTICLES'!$A$4:$A$100</formula1>
    </dataValidation>
  </dataValidations>
  <pageMargins left="0.3" right="0.3" top="0.4" bottom="0.4" header="0.3" footer="0.3"/>
  <pageSetup orientation="landscape" paperSize="9" fitToHeight="0" fitToWidth="1"/>
  <headerFooter>
    <oddHeader/>
    <oddFooter>&amp;L&amp;8 KATANGA TECHCARE&amp;R&amp;8 Page &amp;P /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FF111111"/>
    <outlinePr summaryBelow="1" summaryRight="1"/>
    <pageSetUpPr fitToPage="1"/>
  </sheetPr>
  <dimension ref="A1:P100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7" max="7"/>
  </cols>
  <sheetData>
    <row r="1" ht="26" customHeight="1">
      <c r="A1" s="9" t="inlineStr">
        <is>
          <t>HISTORIQUE DES FACTURES &amp; PROFORMAS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</row>
    <row r="3" ht="24" customHeight="1">
      <c r="A3" s="14" t="inlineStr">
        <is>
          <t>Date</t>
        </is>
      </c>
      <c r="B3" s="14" t="inlineStr">
        <is>
          <t>N° Document</t>
        </is>
      </c>
      <c r="C3" s="14" t="inlineStr">
        <is>
          <t>Type</t>
        </is>
      </c>
      <c r="D3" s="14" t="inlineStr">
        <is>
          <t>ID Client</t>
        </is>
      </c>
      <c r="E3" s="14" t="inlineStr">
        <is>
          <t>Client</t>
        </is>
      </c>
      <c r="F3" s="14" t="inlineStr">
        <is>
          <t>Référence Article</t>
        </is>
      </c>
      <c r="G3" s="14" t="inlineStr">
        <is>
          <t>Désignation</t>
        </is>
      </c>
      <c r="H3" s="14" t="inlineStr">
        <is>
          <t>Qté</t>
        </is>
      </c>
      <c r="I3" s="14" t="inlineStr">
        <is>
          <t>Prix unitaire</t>
        </is>
      </c>
      <c r="J3" s="14" t="inlineStr">
        <is>
          <t>Transport</t>
        </is>
      </c>
      <c r="K3" s="14" t="inlineStr">
        <is>
          <t>Autres frais</t>
        </is>
      </c>
      <c r="L3" s="14" t="inlineStr">
        <is>
          <t>Marge %</t>
        </is>
      </c>
      <c r="M3" s="14" t="inlineStr">
        <is>
          <t>Sous-total</t>
        </is>
      </c>
      <c r="N3" s="14" t="inlineStr">
        <is>
          <t>Marge $</t>
        </is>
      </c>
      <c r="O3" s="14" t="inlineStr">
        <is>
          <t>Total</t>
        </is>
      </c>
      <c r="P3" s="14" t="inlineStr">
        <is>
          <t>Statut</t>
        </is>
      </c>
    </row>
    <row r="4">
      <c r="A4" s="173" t="n">
        <v>46244</v>
      </c>
      <c r="B4" s="164" t="inlineStr">
        <is>
          <t>KTC-FAC-2026-001</t>
        </is>
      </c>
      <c r="C4" s="164" t="inlineStr">
        <is>
          <t>FACTURE</t>
        </is>
      </c>
      <c r="D4" s="164" t="inlineStr">
        <is>
          <t>CLI-0001</t>
        </is>
      </c>
      <c r="E4" s="164" t="inlineStr">
        <is>
          <t>NONO DIENGA</t>
        </is>
      </c>
      <c r="F4" s="164" t="inlineStr">
        <is>
          <t>PACK-AUDIO</t>
        </is>
      </c>
      <c r="G4" s="164" t="inlineStr">
        <is>
          <t>Pack audio complet</t>
        </is>
      </c>
      <c r="H4" s="164" t="n">
        <v>1</v>
      </c>
      <c r="I4" s="166" t="n">
        <v>1820</v>
      </c>
      <c r="J4" s="166" t="n">
        <v>459</v>
      </c>
      <c r="K4" s="166" t="n">
        <v>0</v>
      </c>
      <c r="L4" s="168" t="n">
        <v>0.3</v>
      </c>
      <c r="M4" s="167">
        <f>H4*I4+J4+K4</f>
        <v/>
      </c>
      <c r="N4" s="167">
        <f>M4*L4</f>
        <v/>
      </c>
      <c r="O4" s="167">
        <f>M4+N4</f>
        <v/>
      </c>
      <c r="P4" s="164" t="inlineStr">
        <is>
          <t>VALIDÉ</t>
        </is>
      </c>
    </row>
    <row r="5">
      <c r="A5" s="173" t="n">
        <v>46244</v>
      </c>
      <c r="B5" s="164" t="inlineStr">
        <is>
          <t>KTC-PF-2026-002</t>
        </is>
      </c>
      <c r="C5" s="164" t="inlineStr">
        <is>
          <t>PROFORMA</t>
        </is>
      </c>
      <c r="D5" s="164" t="inlineStr">
        <is>
          <t>CLI-0002</t>
        </is>
      </c>
      <c r="E5" s="164" t="inlineStr">
        <is>
          <t>SONY MUKAZA SCHADRAK</t>
        </is>
      </c>
      <c r="F5" s="164" t="inlineStr">
        <is>
          <t>ART-0002</t>
        </is>
      </c>
      <c r="G5" s="164" t="inlineStr">
        <is>
          <t>Jante auto + capuchon central</t>
        </is>
      </c>
      <c r="H5" s="164" t="n">
        <v>4</v>
      </c>
      <c r="I5" s="166" t="n">
        <v>250</v>
      </c>
      <c r="J5" s="166" t="n">
        <v>200</v>
      </c>
      <c r="K5" s="166" t="n">
        <v>0</v>
      </c>
      <c r="L5" s="168" t="n">
        <v>0.3</v>
      </c>
      <c r="M5" s="167">
        <f>H5*I5+J5+K5</f>
        <v/>
      </c>
      <c r="N5" s="167">
        <f>M5*L5</f>
        <v/>
      </c>
      <c r="O5" s="167">
        <f>M5+N5</f>
        <v/>
      </c>
      <c r="P5" s="164" t="inlineStr">
        <is>
          <t>VALIDÉ</t>
        </is>
      </c>
    </row>
    <row r="6">
      <c r="A6" s="173" t="n">
        <v>46248</v>
      </c>
      <c r="B6" s="164" t="inlineStr">
        <is>
          <t>KTC-FAC-2026-002</t>
        </is>
      </c>
      <c r="C6" s="164" t="inlineStr">
        <is>
          <t>FACTURE</t>
        </is>
      </c>
      <c r="D6" s="164" t="inlineStr">
        <is>
          <t>CLI-0003</t>
        </is>
      </c>
      <c r="E6" s="164" t="inlineStr">
        <is>
          <t>MATHIEU KAYISA</t>
        </is>
      </c>
      <c r="F6" s="164" t="inlineStr">
        <is>
          <t>ART-0001</t>
        </is>
      </c>
      <c r="G6" s="164" t="inlineStr">
        <is>
          <t>Radio Android Mercedes-Benz</t>
        </is>
      </c>
      <c r="H6" s="164" t="n">
        <v>1</v>
      </c>
      <c r="I6" s="166" t="n">
        <v>100</v>
      </c>
      <c r="J6" s="166" t="n">
        <v>20</v>
      </c>
      <c r="K6" s="166" t="n">
        <v>0</v>
      </c>
      <c r="L6" s="168" t="n">
        <v>0.3</v>
      </c>
      <c r="M6" s="167">
        <f>H6*I6+J6+K6</f>
        <v/>
      </c>
      <c r="N6" s="167">
        <f>M6*L6</f>
        <v/>
      </c>
      <c r="O6" s="167">
        <f>M6+N6</f>
        <v/>
      </c>
      <c r="P6" s="164" t="inlineStr">
        <is>
          <t>VALIDÉ</t>
        </is>
      </c>
    </row>
    <row r="7">
      <c r="A7" s="173" t="n">
        <v>46266</v>
      </c>
      <c r="B7" s="164" t="inlineStr">
        <is>
          <t>KTC-PF-2026-003</t>
        </is>
      </c>
      <c r="C7" s="164" t="inlineStr">
        <is>
          <t>PROFORMA</t>
        </is>
      </c>
      <c r="D7" s="164" t="inlineStr">
        <is>
          <t>CLI-0004</t>
        </is>
      </c>
      <c r="E7" s="164" t="inlineStr">
        <is>
          <t>CLIENT DEMO</t>
        </is>
      </c>
      <c r="F7" s="164" t="inlineStr">
        <is>
          <t>ART-0003</t>
        </is>
      </c>
      <c r="G7" s="164" t="inlineStr">
        <is>
          <t>Samsung Galaxy A17 128G + 6G</t>
        </is>
      </c>
      <c r="H7" s="164" t="n">
        <v>1</v>
      </c>
      <c r="I7" s="166" t="n">
        <v>300</v>
      </c>
      <c r="J7" s="166" t="n">
        <v>15</v>
      </c>
      <c r="K7" s="166" t="n">
        <v>0</v>
      </c>
      <c r="L7" s="168" t="n">
        <v>0.3</v>
      </c>
      <c r="M7" s="167">
        <f>H7*I7+J7+K7</f>
        <v/>
      </c>
      <c r="N7" s="167">
        <f>M7*L7</f>
        <v/>
      </c>
      <c r="O7" s="167">
        <f>M7+N7</f>
        <v/>
      </c>
      <c r="P7" s="164" t="inlineStr">
        <is>
          <t>BROUILLON</t>
        </is>
      </c>
    </row>
    <row r="8">
      <c r="A8" s="173" t="n"/>
      <c r="B8" s="164" t="n"/>
      <c r="C8" s="164" t="n"/>
      <c r="D8" s="164" t="n"/>
      <c r="E8" s="164" t="n"/>
      <c r="F8" s="164" t="n"/>
      <c r="G8" s="164" t="n"/>
      <c r="H8" s="164" t="n"/>
      <c r="I8" s="166" t="n"/>
      <c r="J8" s="166" t="n"/>
      <c r="K8" s="166" t="n"/>
      <c r="L8" s="168" t="n"/>
      <c r="M8" s="167">
        <f>H8*I8+J8+K8</f>
        <v/>
      </c>
      <c r="N8" s="167">
        <f>M8*L8</f>
        <v/>
      </c>
      <c r="O8" s="167">
        <f>M8+N8</f>
        <v/>
      </c>
      <c r="P8" s="164" t="n"/>
    </row>
    <row r="9">
      <c r="A9" s="173" t="n"/>
      <c r="B9" s="164" t="n"/>
      <c r="C9" s="164" t="n"/>
      <c r="D9" s="164" t="n"/>
      <c r="E9" s="164" t="n"/>
      <c r="F9" s="164" t="n"/>
      <c r="G9" s="164" t="n"/>
      <c r="H9" s="164" t="n"/>
      <c r="I9" s="166" t="n"/>
      <c r="J9" s="166" t="n"/>
      <c r="K9" s="166" t="n"/>
      <c r="L9" s="168" t="n"/>
      <c r="M9" s="167">
        <f>H9*I9+J9+K9</f>
        <v/>
      </c>
      <c r="N9" s="167">
        <f>M9*L9</f>
        <v/>
      </c>
      <c r="O9" s="167">
        <f>M9+N9</f>
        <v/>
      </c>
      <c r="P9" s="164" t="n"/>
    </row>
    <row r="10">
      <c r="A10" s="173" t="n"/>
      <c r="B10" s="164" t="n"/>
      <c r="C10" s="164" t="n"/>
      <c r="D10" s="164" t="n"/>
      <c r="E10" s="164" t="n"/>
      <c r="F10" s="164" t="n"/>
      <c r="G10" s="164" t="n"/>
      <c r="H10" s="164" t="n"/>
      <c r="I10" s="166" t="n"/>
      <c r="J10" s="166" t="n"/>
      <c r="K10" s="166" t="n"/>
      <c r="L10" s="168" t="n"/>
      <c r="M10" s="167">
        <f>H10*I10+J10+K10</f>
        <v/>
      </c>
      <c r="N10" s="167">
        <f>M10*L10</f>
        <v/>
      </c>
      <c r="O10" s="167">
        <f>M10+N10</f>
        <v/>
      </c>
      <c r="P10" s="164" t="n"/>
    </row>
    <row r="11">
      <c r="A11" s="173" t="n"/>
      <c r="B11" s="164" t="n"/>
      <c r="C11" s="164" t="n"/>
      <c r="D11" s="164" t="n"/>
      <c r="E11" s="164" t="n"/>
      <c r="F11" s="164" t="n"/>
      <c r="G11" s="164" t="n"/>
      <c r="H11" s="164" t="n"/>
      <c r="I11" s="166" t="n"/>
      <c r="J11" s="166" t="n"/>
      <c r="K11" s="166" t="n"/>
      <c r="L11" s="168" t="n"/>
      <c r="M11" s="167">
        <f>H11*I11+J11+K11</f>
        <v/>
      </c>
      <c r="N11" s="167">
        <f>M11*L11</f>
        <v/>
      </c>
      <c r="O11" s="167">
        <f>M11+N11</f>
        <v/>
      </c>
      <c r="P11" s="164" t="n"/>
    </row>
    <row r="12">
      <c r="A12" s="173" t="n"/>
      <c r="B12" s="164" t="n"/>
      <c r="C12" s="164" t="n"/>
      <c r="D12" s="164" t="n"/>
      <c r="E12" s="164" t="n"/>
      <c r="F12" s="164" t="n"/>
      <c r="G12" s="164" t="n"/>
      <c r="H12" s="164" t="n"/>
      <c r="I12" s="166" t="n"/>
      <c r="J12" s="166" t="n"/>
      <c r="K12" s="166" t="n"/>
      <c r="L12" s="168" t="n"/>
      <c r="M12" s="167">
        <f>H12*I12+J12+K12</f>
        <v/>
      </c>
      <c r="N12" s="167">
        <f>M12*L12</f>
        <v/>
      </c>
      <c r="O12" s="167">
        <f>M12+N12</f>
        <v/>
      </c>
      <c r="P12" s="164" t="n"/>
    </row>
    <row r="13">
      <c r="A13" s="173" t="n"/>
      <c r="B13" s="164" t="n"/>
      <c r="C13" s="164" t="n"/>
      <c r="D13" s="164" t="n"/>
      <c r="E13" s="164" t="n"/>
      <c r="F13" s="164" t="n"/>
      <c r="G13" s="164" t="n"/>
      <c r="H13" s="164" t="n"/>
      <c r="I13" s="166" t="n"/>
      <c r="J13" s="166" t="n"/>
      <c r="K13" s="166" t="n"/>
      <c r="L13" s="168" t="n"/>
      <c r="M13" s="167">
        <f>H13*I13+J13+K13</f>
        <v/>
      </c>
      <c r="N13" s="167">
        <f>M13*L13</f>
        <v/>
      </c>
      <c r="O13" s="167">
        <f>M13+N13</f>
        <v/>
      </c>
      <c r="P13" s="164" t="n"/>
    </row>
    <row r="14">
      <c r="A14" s="173" t="n"/>
      <c r="B14" s="164" t="n"/>
      <c r="C14" s="164" t="n"/>
      <c r="D14" s="164" t="n"/>
      <c r="E14" s="164" t="n"/>
      <c r="F14" s="164" t="n"/>
      <c r="G14" s="164" t="n"/>
      <c r="H14" s="164" t="n"/>
      <c r="I14" s="166" t="n"/>
      <c r="J14" s="166" t="n"/>
      <c r="K14" s="166" t="n"/>
      <c r="L14" s="168" t="n"/>
      <c r="M14" s="167">
        <f>H14*I14+J14+K14</f>
        <v/>
      </c>
      <c r="N14" s="167">
        <f>M14*L14</f>
        <v/>
      </c>
      <c r="O14" s="167">
        <f>M14+N14</f>
        <v/>
      </c>
      <c r="P14" s="164" t="n"/>
    </row>
    <row r="15">
      <c r="A15" s="173" t="n"/>
      <c r="B15" s="164" t="n"/>
      <c r="C15" s="164" t="n"/>
      <c r="D15" s="164" t="n"/>
      <c r="E15" s="164" t="n"/>
      <c r="F15" s="164" t="n"/>
      <c r="G15" s="164" t="n"/>
      <c r="H15" s="164" t="n"/>
      <c r="I15" s="166" t="n"/>
      <c r="J15" s="166" t="n"/>
      <c r="K15" s="166" t="n"/>
      <c r="L15" s="168" t="n"/>
      <c r="M15" s="167">
        <f>H15*I15+J15+K15</f>
        <v/>
      </c>
      <c r="N15" s="167">
        <f>M15*L15</f>
        <v/>
      </c>
      <c r="O15" s="167">
        <f>M15+N15</f>
        <v/>
      </c>
      <c r="P15" s="164" t="n"/>
    </row>
    <row r="16">
      <c r="A16" s="173" t="n"/>
      <c r="B16" s="164" t="n"/>
      <c r="C16" s="164" t="n"/>
      <c r="D16" s="164" t="n"/>
      <c r="E16" s="164" t="n"/>
      <c r="F16" s="164" t="n"/>
      <c r="G16" s="164" t="n"/>
      <c r="H16" s="164" t="n"/>
      <c r="I16" s="166" t="n"/>
      <c r="J16" s="166" t="n"/>
      <c r="K16" s="166" t="n"/>
      <c r="L16" s="168" t="n"/>
      <c r="M16" s="167">
        <f>H16*I16+J16+K16</f>
        <v/>
      </c>
      <c r="N16" s="167">
        <f>M16*L16</f>
        <v/>
      </c>
      <c r="O16" s="167">
        <f>M16+N16</f>
        <v/>
      </c>
      <c r="P16" s="164" t="n"/>
    </row>
    <row r="17">
      <c r="A17" s="173" t="n"/>
      <c r="B17" s="164" t="n"/>
      <c r="C17" s="164" t="n"/>
      <c r="D17" s="164" t="n"/>
      <c r="E17" s="164" t="n"/>
      <c r="F17" s="164" t="n"/>
      <c r="G17" s="164" t="n"/>
      <c r="H17" s="164" t="n"/>
      <c r="I17" s="166" t="n"/>
      <c r="J17" s="166" t="n"/>
      <c r="K17" s="166" t="n"/>
      <c r="L17" s="168" t="n"/>
      <c r="M17" s="167">
        <f>H17*I17+J17+K17</f>
        <v/>
      </c>
      <c r="N17" s="167">
        <f>M17*L17</f>
        <v/>
      </c>
      <c r="O17" s="167">
        <f>M17+N17</f>
        <v/>
      </c>
      <c r="P17" s="164" t="n"/>
    </row>
    <row r="18">
      <c r="A18" s="173" t="n"/>
      <c r="B18" s="164" t="n"/>
      <c r="C18" s="164" t="n"/>
      <c r="D18" s="164" t="n"/>
      <c r="E18" s="164" t="n"/>
      <c r="F18" s="164" t="n"/>
      <c r="G18" s="164" t="n"/>
      <c r="H18" s="164" t="n"/>
      <c r="I18" s="166" t="n"/>
      <c r="J18" s="166" t="n"/>
      <c r="K18" s="166" t="n"/>
      <c r="L18" s="168" t="n"/>
      <c r="M18" s="167">
        <f>H18*I18+J18+K18</f>
        <v/>
      </c>
      <c r="N18" s="167">
        <f>M18*L18</f>
        <v/>
      </c>
      <c r="O18" s="167">
        <f>M18+N18</f>
        <v/>
      </c>
      <c r="P18" s="164" t="n"/>
    </row>
    <row r="19">
      <c r="A19" s="173" t="n"/>
      <c r="B19" s="164" t="n"/>
      <c r="C19" s="164" t="n"/>
      <c r="D19" s="164" t="n"/>
      <c r="E19" s="164" t="n"/>
      <c r="F19" s="164" t="n"/>
      <c r="G19" s="164" t="n"/>
      <c r="H19" s="164" t="n"/>
      <c r="I19" s="166" t="n"/>
      <c r="J19" s="166" t="n"/>
      <c r="K19" s="166" t="n"/>
      <c r="L19" s="168" t="n"/>
      <c r="M19" s="167">
        <f>H19*I19+J19+K19</f>
        <v/>
      </c>
      <c r="N19" s="167">
        <f>M19*L19</f>
        <v/>
      </c>
      <c r="O19" s="167">
        <f>M19+N19</f>
        <v/>
      </c>
      <c r="P19" s="164" t="n"/>
    </row>
    <row r="20">
      <c r="A20" s="173" t="n"/>
      <c r="B20" s="164" t="n"/>
      <c r="C20" s="164" t="n"/>
      <c r="D20" s="164" t="n"/>
      <c r="E20" s="164" t="n"/>
      <c r="F20" s="164" t="n"/>
      <c r="G20" s="164" t="n"/>
      <c r="H20" s="164" t="n"/>
      <c r="I20" s="166" t="n"/>
      <c r="J20" s="166" t="n"/>
      <c r="K20" s="166" t="n"/>
      <c r="L20" s="168" t="n"/>
      <c r="M20" s="167">
        <f>H20*I20+J20+K20</f>
        <v/>
      </c>
      <c r="N20" s="167">
        <f>M20*L20</f>
        <v/>
      </c>
      <c r="O20" s="167">
        <f>M20+N20</f>
        <v/>
      </c>
      <c r="P20" s="164" t="n"/>
    </row>
    <row r="21">
      <c r="A21" s="173" t="n"/>
      <c r="B21" s="164" t="n"/>
      <c r="C21" s="164" t="n"/>
      <c r="D21" s="164" t="n"/>
      <c r="E21" s="164" t="n"/>
      <c r="F21" s="164" t="n"/>
      <c r="G21" s="164" t="n"/>
      <c r="H21" s="164" t="n"/>
      <c r="I21" s="166" t="n"/>
      <c r="J21" s="166" t="n"/>
      <c r="K21" s="166" t="n"/>
      <c r="L21" s="168" t="n"/>
      <c r="M21" s="167">
        <f>H21*I21+J21+K21</f>
        <v/>
      </c>
      <c r="N21" s="167">
        <f>M21*L21</f>
        <v/>
      </c>
      <c r="O21" s="167">
        <f>M21+N21</f>
        <v/>
      </c>
      <c r="P21" s="164" t="n"/>
    </row>
    <row r="22">
      <c r="A22" s="173" t="n"/>
      <c r="B22" s="164" t="n"/>
      <c r="C22" s="164" t="n"/>
      <c r="D22" s="164" t="n"/>
      <c r="E22" s="164" t="n"/>
      <c r="F22" s="164" t="n"/>
      <c r="G22" s="164" t="n"/>
      <c r="H22" s="164" t="n"/>
      <c r="I22" s="166" t="n"/>
      <c r="J22" s="166" t="n"/>
      <c r="K22" s="166" t="n"/>
      <c r="L22" s="168" t="n"/>
      <c r="M22" s="167">
        <f>H22*I22+J22+K22</f>
        <v/>
      </c>
      <c r="N22" s="167">
        <f>M22*L22</f>
        <v/>
      </c>
      <c r="O22" s="167">
        <f>M22+N22</f>
        <v/>
      </c>
      <c r="P22" s="164" t="n"/>
    </row>
    <row r="23">
      <c r="A23" s="173" t="n"/>
      <c r="B23" s="164" t="n"/>
      <c r="C23" s="164" t="n"/>
      <c r="D23" s="164" t="n"/>
      <c r="E23" s="164" t="n"/>
      <c r="F23" s="164" t="n"/>
      <c r="G23" s="164" t="n"/>
      <c r="H23" s="164" t="n"/>
      <c r="I23" s="166" t="n"/>
      <c r="J23" s="166" t="n"/>
      <c r="K23" s="166" t="n"/>
      <c r="L23" s="168" t="n"/>
      <c r="M23" s="167">
        <f>H23*I23+J23+K23</f>
        <v/>
      </c>
      <c r="N23" s="167">
        <f>M23*L23</f>
        <v/>
      </c>
      <c r="O23" s="167">
        <f>M23+N23</f>
        <v/>
      </c>
      <c r="P23" s="164" t="n"/>
    </row>
    <row r="24">
      <c r="A24" s="173" t="n"/>
      <c r="B24" s="164" t="n"/>
      <c r="C24" s="164" t="n"/>
      <c r="D24" s="164" t="n"/>
      <c r="E24" s="164" t="n"/>
      <c r="F24" s="164" t="n"/>
      <c r="G24" s="164" t="n"/>
      <c r="H24" s="164" t="n"/>
      <c r="I24" s="166" t="n"/>
      <c r="J24" s="166" t="n"/>
      <c r="K24" s="166" t="n"/>
      <c r="L24" s="168" t="n"/>
      <c r="M24" s="167">
        <f>H24*I24+J24+K24</f>
        <v/>
      </c>
      <c r="N24" s="167">
        <f>M24*L24</f>
        <v/>
      </c>
      <c r="O24" s="167">
        <f>M24+N24</f>
        <v/>
      </c>
      <c r="P24" s="164" t="n"/>
    </row>
    <row r="25">
      <c r="A25" s="173" t="n"/>
      <c r="B25" s="164" t="n"/>
      <c r="C25" s="164" t="n"/>
      <c r="D25" s="164" t="n"/>
      <c r="E25" s="164" t="n"/>
      <c r="F25" s="164" t="n"/>
      <c r="G25" s="164" t="n"/>
      <c r="H25" s="164" t="n"/>
      <c r="I25" s="166" t="n"/>
      <c r="J25" s="166" t="n"/>
      <c r="K25" s="166" t="n"/>
      <c r="L25" s="168" t="n"/>
      <c r="M25" s="167">
        <f>H25*I25+J25+K25</f>
        <v/>
      </c>
      <c r="N25" s="167">
        <f>M25*L25</f>
        <v/>
      </c>
      <c r="O25" s="167">
        <f>M25+N25</f>
        <v/>
      </c>
      <c r="P25" s="164" t="n"/>
    </row>
    <row r="26">
      <c r="A26" s="173" t="n"/>
      <c r="B26" s="164" t="n"/>
      <c r="C26" s="164" t="n"/>
      <c r="D26" s="164" t="n"/>
      <c r="E26" s="164" t="n"/>
      <c r="F26" s="164" t="n"/>
      <c r="G26" s="164" t="n"/>
      <c r="H26" s="164" t="n"/>
      <c r="I26" s="166" t="n"/>
      <c r="J26" s="166" t="n"/>
      <c r="K26" s="166" t="n"/>
      <c r="L26" s="168" t="n"/>
      <c r="M26" s="167">
        <f>H26*I26+J26+K26</f>
        <v/>
      </c>
      <c r="N26" s="167">
        <f>M26*L26</f>
        <v/>
      </c>
      <c r="O26" s="167">
        <f>M26+N26</f>
        <v/>
      </c>
      <c r="P26" s="164" t="n"/>
    </row>
    <row r="27">
      <c r="A27" s="173" t="n"/>
      <c r="B27" s="164" t="n"/>
      <c r="C27" s="164" t="n"/>
      <c r="D27" s="164" t="n"/>
      <c r="E27" s="164" t="n"/>
      <c r="F27" s="164" t="n"/>
      <c r="G27" s="164" t="n"/>
      <c r="H27" s="164" t="n"/>
      <c r="I27" s="166" t="n"/>
      <c r="J27" s="166" t="n"/>
      <c r="K27" s="166" t="n"/>
      <c r="L27" s="168" t="n"/>
      <c r="M27" s="167">
        <f>H27*I27+J27+K27</f>
        <v/>
      </c>
      <c r="N27" s="167">
        <f>M27*L27</f>
        <v/>
      </c>
      <c r="O27" s="167">
        <f>M27+N27</f>
        <v/>
      </c>
      <c r="P27" s="164" t="n"/>
    </row>
    <row r="28">
      <c r="A28" s="173" t="n"/>
      <c r="B28" s="164" t="n"/>
      <c r="C28" s="164" t="n"/>
      <c r="D28" s="164" t="n"/>
      <c r="E28" s="164" t="n"/>
      <c r="F28" s="164" t="n"/>
      <c r="G28" s="164" t="n"/>
      <c r="H28" s="164" t="n"/>
      <c r="I28" s="166" t="n"/>
      <c r="J28" s="166" t="n"/>
      <c r="K28" s="166" t="n"/>
      <c r="L28" s="168" t="n"/>
      <c r="M28" s="167">
        <f>H28*I28+J28+K28</f>
        <v/>
      </c>
      <c r="N28" s="167">
        <f>M28*L28</f>
        <v/>
      </c>
      <c r="O28" s="167">
        <f>M28+N28</f>
        <v/>
      </c>
      <c r="P28" s="164" t="n"/>
    </row>
    <row r="29">
      <c r="A29" s="173" t="n"/>
      <c r="B29" s="164" t="n"/>
      <c r="C29" s="164" t="n"/>
      <c r="D29" s="164" t="n"/>
      <c r="E29" s="164" t="n"/>
      <c r="F29" s="164" t="n"/>
      <c r="G29" s="164" t="n"/>
      <c r="H29" s="164" t="n"/>
      <c r="I29" s="166" t="n"/>
      <c r="J29" s="166" t="n"/>
      <c r="K29" s="166" t="n"/>
      <c r="L29" s="168" t="n"/>
      <c r="M29" s="167">
        <f>H29*I29+J29+K29</f>
        <v/>
      </c>
      <c r="N29" s="167">
        <f>M29*L29</f>
        <v/>
      </c>
      <c r="O29" s="167">
        <f>M29+N29</f>
        <v/>
      </c>
      <c r="P29" s="164" t="n"/>
    </row>
    <row r="30">
      <c r="A30" s="173" t="n"/>
      <c r="B30" s="164" t="n"/>
      <c r="C30" s="164" t="n"/>
      <c r="D30" s="164" t="n"/>
      <c r="E30" s="164" t="n"/>
      <c r="F30" s="164" t="n"/>
      <c r="G30" s="164" t="n"/>
      <c r="H30" s="164" t="n"/>
      <c r="I30" s="166" t="n"/>
      <c r="J30" s="166" t="n"/>
      <c r="K30" s="166" t="n"/>
      <c r="L30" s="168" t="n"/>
      <c r="M30" s="167">
        <f>H30*I30+J30+K30</f>
        <v/>
      </c>
      <c r="N30" s="167">
        <f>M30*L30</f>
        <v/>
      </c>
      <c r="O30" s="167">
        <f>M30+N30</f>
        <v/>
      </c>
      <c r="P30" s="164" t="n"/>
    </row>
    <row r="31">
      <c r="A31" s="173" t="n"/>
      <c r="B31" s="164" t="n"/>
      <c r="C31" s="164" t="n"/>
      <c r="D31" s="164" t="n"/>
      <c r="E31" s="164" t="n"/>
      <c r="F31" s="164" t="n"/>
      <c r="G31" s="164" t="n"/>
      <c r="H31" s="164" t="n"/>
      <c r="I31" s="166" t="n"/>
      <c r="J31" s="166" t="n"/>
      <c r="K31" s="166" t="n"/>
      <c r="L31" s="168" t="n"/>
      <c r="M31" s="167">
        <f>H31*I31+J31+K31</f>
        <v/>
      </c>
      <c r="N31" s="167">
        <f>M31*L31</f>
        <v/>
      </c>
      <c r="O31" s="167">
        <f>M31+N31</f>
        <v/>
      </c>
      <c r="P31" s="164" t="n"/>
    </row>
    <row r="32">
      <c r="A32" s="173" t="n"/>
      <c r="B32" s="164" t="n"/>
      <c r="C32" s="164" t="n"/>
      <c r="D32" s="164" t="n"/>
      <c r="E32" s="164" t="n"/>
      <c r="F32" s="164" t="n"/>
      <c r="G32" s="164" t="n"/>
      <c r="H32" s="164" t="n"/>
      <c r="I32" s="166" t="n"/>
      <c r="J32" s="166" t="n"/>
      <c r="K32" s="166" t="n"/>
      <c r="L32" s="168" t="n"/>
      <c r="M32" s="167">
        <f>H32*I32+J32+K32</f>
        <v/>
      </c>
      <c r="N32" s="167">
        <f>M32*L32</f>
        <v/>
      </c>
      <c r="O32" s="167">
        <f>M32+N32</f>
        <v/>
      </c>
      <c r="P32" s="164" t="n"/>
    </row>
    <row r="33">
      <c r="A33" s="173" t="n"/>
      <c r="B33" s="164" t="n"/>
      <c r="C33" s="164" t="n"/>
      <c r="D33" s="164" t="n"/>
      <c r="E33" s="164" t="n"/>
      <c r="F33" s="164" t="n"/>
      <c r="G33" s="164" t="n"/>
      <c r="H33" s="164" t="n"/>
      <c r="I33" s="166" t="n"/>
      <c r="J33" s="166" t="n"/>
      <c r="K33" s="166" t="n"/>
      <c r="L33" s="168" t="n"/>
      <c r="M33" s="167">
        <f>H33*I33+J33+K33</f>
        <v/>
      </c>
      <c r="N33" s="167">
        <f>M33*L33</f>
        <v/>
      </c>
      <c r="O33" s="167">
        <f>M33+N33</f>
        <v/>
      </c>
      <c r="P33" s="164" t="n"/>
    </row>
    <row r="34">
      <c r="A34" s="173" t="n"/>
      <c r="B34" s="164" t="n"/>
      <c r="C34" s="164" t="n"/>
      <c r="D34" s="164" t="n"/>
      <c r="E34" s="164" t="n"/>
      <c r="F34" s="164" t="n"/>
      <c r="G34" s="164" t="n"/>
      <c r="H34" s="164" t="n"/>
      <c r="I34" s="166" t="n"/>
      <c r="J34" s="166" t="n"/>
      <c r="K34" s="166" t="n"/>
      <c r="L34" s="168" t="n"/>
      <c r="M34" s="167">
        <f>H34*I34+J34+K34</f>
        <v/>
      </c>
      <c r="N34" s="167">
        <f>M34*L34</f>
        <v/>
      </c>
      <c r="O34" s="167">
        <f>M34+N34</f>
        <v/>
      </c>
      <c r="P34" s="164" t="n"/>
    </row>
    <row r="35">
      <c r="A35" s="173" t="n"/>
      <c r="B35" s="164" t="n"/>
      <c r="C35" s="164" t="n"/>
      <c r="D35" s="164" t="n"/>
      <c r="E35" s="164" t="n"/>
      <c r="F35" s="164" t="n"/>
      <c r="G35" s="164" t="n"/>
      <c r="H35" s="164" t="n"/>
      <c r="I35" s="166" t="n"/>
      <c r="J35" s="166" t="n"/>
      <c r="K35" s="166" t="n"/>
      <c r="L35" s="168" t="n"/>
      <c r="M35" s="167">
        <f>H35*I35+J35+K35</f>
        <v/>
      </c>
      <c r="N35" s="167">
        <f>M35*L35</f>
        <v/>
      </c>
      <c r="O35" s="167">
        <f>M35+N35</f>
        <v/>
      </c>
      <c r="P35" s="164" t="n"/>
    </row>
    <row r="36">
      <c r="A36" s="173" t="n"/>
      <c r="B36" s="164" t="n"/>
      <c r="C36" s="164" t="n"/>
      <c r="D36" s="164" t="n"/>
      <c r="E36" s="164" t="n"/>
      <c r="F36" s="164" t="n"/>
      <c r="G36" s="164" t="n"/>
      <c r="H36" s="164" t="n"/>
      <c r="I36" s="166" t="n"/>
      <c r="J36" s="166" t="n"/>
      <c r="K36" s="166" t="n"/>
      <c r="L36" s="168" t="n"/>
      <c r="M36" s="167">
        <f>H36*I36+J36+K36</f>
        <v/>
      </c>
      <c r="N36" s="167">
        <f>M36*L36</f>
        <v/>
      </c>
      <c r="O36" s="167">
        <f>M36+N36</f>
        <v/>
      </c>
      <c r="P36" s="164" t="n"/>
    </row>
    <row r="37">
      <c r="A37" s="173" t="n"/>
      <c r="B37" s="164" t="n"/>
      <c r="C37" s="164" t="n"/>
      <c r="D37" s="164" t="n"/>
      <c r="E37" s="164" t="n"/>
      <c r="F37" s="164" t="n"/>
      <c r="G37" s="164" t="n"/>
      <c r="H37" s="164" t="n"/>
      <c r="I37" s="166" t="n"/>
      <c r="J37" s="166" t="n"/>
      <c r="K37" s="166" t="n"/>
      <c r="L37" s="168" t="n"/>
      <c r="M37" s="167">
        <f>H37*I37+J37+K37</f>
        <v/>
      </c>
      <c r="N37" s="167">
        <f>M37*L37</f>
        <v/>
      </c>
      <c r="O37" s="167">
        <f>M37+N37</f>
        <v/>
      </c>
      <c r="P37" s="164" t="n"/>
    </row>
    <row r="38">
      <c r="A38" s="173" t="n"/>
      <c r="B38" s="164" t="n"/>
      <c r="C38" s="164" t="n"/>
      <c r="D38" s="164" t="n"/>
      <c r="E38" s="164" t="n"/>
      <c r="F38" s="164" t="n"/>
      <c r="G38" s="164" t="n"/>
      <c r="H38" s="164" t="n"/>
      <c r="I38" s="166" t="n"/>
      <c r="J38" s="166" t="n"/>
      <c r="K38" s="166" t="n"/>
      <c r="L38" s="168" t="n"/>
      <c r="M38" s="167">
        <f>H38*I38+J38+K38</f>
        <v/>
      </c>
      <c r="N38" s="167">
        <f>M38*L38</f>
        <v/>
      </c>
      <c r="O38" s="167">
        <f>M38+N38</f>
        <v/>
      </c>
      <c r="P38" s="164" t="n"/>
    </row>
    <row r="39">
      <c r="A39" s="173" t="n"/>
      <c r="B39" s="164" t="n"/>
      <c r="C39" s="164" t="n"/>
      <c r="D39" s="164" t="n"/>
      <c r="E39" s="164" t="n"/>
      <c r="F39" s="164" t="n"/>
      <c r="G39" s="164" t="n"/>
      <c r="H39" s="164" t="n"/>
      <c r="I39" s="166" t="n"/>
      <c r="J39" s="166" t="n"/>
      <c r="K39" s="166" t="n"/>
      <c r="L39" s="168" t="n"/>
      <c r="M39" s="167">
        <f>H39*I39+J39+K39</f>
        <v/>
      </c>
      <c r="N39" s="167">
        <f>M39*L39</f>
        <v/>
      </c>
      <c r="O39" s="167">
        <f>M39+N39</f>
        <v/>
      </c>
      <c r="P39" s="164" t="n"/>
    </row>
    <row r="40">
      <c r="A40" s="173" t="n"/>
      <c r="B40" s="164" t="n"/>
      <c r="C40" s="164" t="n"/>
      <c r="D40" s="164" t="n"/>
      <c r="E40" s="164" t="n"/>
      <c r="F40" s="164" t="n"/>
      <c r="G40" s="164" t="n"/>
      <c r="H40" s="164" t="n"/>
      <c r="I40" s="166" t="n"/>
      <c r="J40" s="166" t="n"/>
      <c r="K40" s="166" t="n"/>
      <c r="L40" s="168" t="n"/>
      <c r="M40" s="167">
        <f>H40*I40+J40+K40</f>
        <v/>
      </c>
      <c r="N40" s="167">
        <f>M40*L40</f>
        <v/>
      </c>
      <c r="O40" s="167">
        <f>M40+N40</f>
        <v/>
      </c>
      <c r="P40" s="164" t="n"/>
    </row>
    <row r="41">
      <c r="A41" s="173" t="n"/>
      <c r="B41" s="164" t="n"/>
      <c r="C41" s="164" t="n"/>
      <c r="D41" s="164" t="n"/>
      <c r="E41" s="164" t="n"/>
      <c r="F41" s="164" t="n"/>
      <c r="G41" s="164" t="n"/>
      <c r="H41" s="164" t="n"/>
      <c r="I41" s="166" t="n"/>
      <c r="J41" s="166" t="n"/>
      <c r="K41" s="166" t="n"/>
      <c r="L41" s="168" t="n"/>
      <c r="M41" s="167">
        <f>H41*I41+J41+K41</f>
        <v/>
      </c>
      <c r="N41" s="167">
        <f>M41*L41</f>
        <v/>
      </c>
      <c r="O41" s="167">
        <f>M41+N41</f>
        <v/>
      </c>
      <c r="P41" s="164" t="n"/>
    </row>
    <row r="42">
      <c r="A42" s="173" t="n"/>
      <c r="B42" s="164" t="n"/>
      <c r="C42" s="164" t="n"/>
      <c r="D42" s="164" t="n"/>
      <c r="E42" s="164" t="n"/>
      <c r="F42" s="164" t="n"/>
      <c r="G42" s="164" t="n"/>
      <c r="H42" s="164" t="n"/>
      <c r="I42" s="166" t="n"/>
      <c r="J42" s="166" t="n"/>
      <c r="K42" s="166" t="n"/>
      <c r="L42" s="168" t="n"/>
      <c r="M42" s="167">
        <f>H42*I42+J42+K42</f>
        <v/>
      </c>
      <c r="N42" s="167">
        <f>M42*L42</f>
        <v/>
      </c>
      <c r="O42" s="167">
        <f>M42+N42</f>
        <v/>
      </c>
      <c r="P42" s="164" t="n"/>
    </row>
    <row r="43">
      <c r="A43" s="173" t="n"/>
      <c r="B43" s="164" t="n"/>
      <c r="C43" s="164" t="n"/>
      <c r="D43" s="164" t="n"/>
      <c r="E43" s="164" t="n"/>
      <c r="F43" s="164" t="n"/>
      <c r="G43" s="164" t="n"/>
      <c r="H43" s="164" t="n"/>
      <c r="I43" s="166" t="n"/>
      <c r="J43" s="166" t="n"/>
      <c r="K43" s="166" t="n"/>
      <c r="L43" s="168" t="n"/>
      <c r="M43" s="167">
        <f>H43*I43+J43+K43</f>
        <v/>
      </c>
      <c r="N43" s="167">
        <f>M43*L43</f>
        <v/>
      </c>
      <c r="O43" s="167">
        <f>M43+N43</f>
        <v/>
      </c>
      <c r="P43" s="164" t="n"/>
    </row>
    <row r="44">
      <c r="A44" s="173" t="n"/>
      <c r="B44" s="164" t="n"/>
      <c r="C44" s="164" t="n"/>
      <c r="D44" s="164" t="n"/>
      <c r="E44" s="164" t="n"/>
      <c r="F44" s="164" t="n"/>
      <c r="G44" s="164" t="n"/>
      <c r="H44" s="164" t="n"/>
      <c r="I44" s="166" t="n"/>
      <c r="J44" s="166" t="n"/>
      <c r="K44" s="166" t="n"/>
      <c r="L44" s="168" t="n"/>
      <c r="M44" s="167">
        <f>H44*I44+J44+K44</f>
        <v/>
      </c>
      <c r="N44" s="167">
        <f>M44*L44</f>
        <v/>
      </c>
      <c r="O44" s="167">
        <f>M44+N44</f>
        <v/>
      </c>
      <c r="P44" s="164" t="n"/>
    </row>
    <row r="45">
      <c r="A45" s="173" t="n"/>
      <c r="B45" s="164" t="n"/>
      <c r="C45" s="164" t="n"/>
      <c r="D45" s="164" t="n"/>
      <c r="E45" s="164" t="n"/>
      <c r="F45" s="164" t="n"/>
      <c r="G45" s="164" t="n"/>
      <c r="H45" s="164" t="n"/>
      <c r="I45" s="166" t="n"/>
      <c r="J45" s="166" t="n"/>
      <c r="K45" s="166" t="n"/>
      <c r="L45" s="168" t="n"/>
      <c r="M45" s="167">
        <f>H45*I45+J45+K45</f>
        <v/>
      </c>
      <c r="N45" s="167">
        <f>M45*L45</f>
        <v/>
      </c>
      <c r="O45" s="167">
        <f>M45+N45</f>
        <v/>
      </c>
      <c r="P45" s="164" t="n"/>
    </row>
    <row r="46">
      <c r="A46" s="173" t="n"/>
      <c r="B46" s="164" t="n"/>
      <c r="C46" s="164" t="n"/>
      <c r="D46" s="164" t="n"/>
      <c r="E46" s="164" t="n"/>
      <c r="F46" s="164" t="n"/>
      <c r="G46" s="164" t="n"/>
      <c r="H46" s="164" t="n"/>
      <c r="I46" s="166" t="n"/>
      <c r="J46" s="166" t="n"/>
      <c r="K46" s="166" t="n"/>
      <c r="L46" s="168" t="n"/>
      <c r="M46" s="167">
        <f>H46*I46+J46+K46</f>
        <v/>
      </c>
      <c r="N46" s="167">
        <f>M46*L46</f>
        <v/>
      </c>
      <c r="O46" s="167">
        <f>M46+N46</f>
        <v/>
      </c>
      <c r="P46" s="164" t="n"/>
    </row>
    <row r="47">
      <c r="A47" s="173" t="n"/>
      <c r="B47" s="164" t="n"/>
      <c r="C47" s="164" t="n"/>
      <c r="D47" s="164" t="n"/>
      <c r="E47" s="164" t="n"/>
      <c r="F47" s="164" t="n"/>
      <c r="G47" s="164" t="n"/>
      <c r="H47" s="164" t="n"/>
      <c r="I47" s="166" t="n"/>
      <c r="J47" s="166" t="n"/>
      <c r="K47" s="166" t="n"/>
      <c r="L47" s="168" t="n"/>
      <c r="M47" s="167">
        <f>H47*I47+J47+K47</f>
        <v/>
      </c>
      <c r="N47" s="167">
        <f>M47*L47</f>
        <v/>
      </c>
      <c r="O47" s="167">
        <f>M47+N47</f>
        <v/>
      </c>
      <c r="P47" s="164" t="n"/>
    </row>
    <row r="48">
      <c r="A48" s="173" t="n"/>
      <c r="B48" s="164" t="n"/>
      <c r="C48" s="164" t="n"/>
      <c r="D48" s="164" t="n"/>
      <c r="E48" s="164" t="n"/>
      <c r="F48" s="164" t="n"/>
      <c r="G48" s="164" t="n"/>
      <c r="H48" s="164" t="n"/>
      <c r="I48" s="166" t="n"/>
      <c r="J48" s="166" t="n"/>
      <c r="K48" s="166" t="n"/>
      <c r="L48" s="168" t="n"/>
      <c r="M48" s="167">
        <f>H48*I48+J48+K48</f>
        <v/>
      </c>
      <c r="N48" s="167">
        <f>M48*L48</f>
        <v/>
      </c>
      <c r="O48" s="167">
        <f>M48+N48</f>
        <v/>
      </c>
      <c r="P48" s="164" t="n"/>
    </row>
    <row r="49">
      <c r="A49" s="173" t="n"/>
      <c r="B49" s="164" t="n"/>
      <c r="C49" s="164" t="n"/>
      <c r="D49" s="164" t="n"/>
      <c r="E49" s="164" t="n"/>
      <c r="F49" s="164" t="n"/>
      <c r="G49" s="164" t="n"/>
      <c r="H49" s="164" t="n"/>
      <c r="I49" s="166" t="n"/>
      <c r="J49" s="166" t="n"/>
      <c r="K49" s="166" t="n"/>
      <c r="L49" s="168" t="n"/>
      <c r="M49" s="167">
        <f>H49*I49+J49+K49</f>
        <v/>
      </c>
      <c r="N49" s="167">
        <f>M49*L49</f>
        <v/>
      </c>
      <c r="O49" s="167">
        <f>M49+N49</f>
        <v/>
      </c>
      <c r="P49" s="164" t="n"/>
    </row>
    <row r="50">
      <c r="A50" s="173" t="n"/>
      <c r="B50" s="164" t="n"/>
      <c r="C50" s="164" t="n"/>
      <c r="D50" s="164" t="n"/>
      <c r="E50" s="164" t="n"/>
      <c r="F50" s="164" t="n"/>
      <c r="G50" s="164" t="n"/>
      <c r="H50" s="164" t="n"/>
      <c r="I50" s="166" t="n"/>
      <c r="J50" s="166" t="n"/>
      <c r="K50" s="166" t="n"/>
      <c r="L50" s="168" t="n"/>
      <c r="M50" s="167">
        <f>H50*I50+J50+K50</f>
        <v/>
      </c>
      <c r="N50" s="167">
        <f>M50*L50</f>
        <v/>
      </c>
      <c r="O50" s="167">
        <f>M50+N50</f>
        <v/>
      </c>
      <c r="P50" s="164" t="n"/>
    </row>
    <row r="51">
      <c r="A51" s="173" t="n"/>
      <c r="B51" s="164" t="n"/>
      <c r="C51" s="164" t="n"/>
      <c r="D51" s="164" t="n"/>
      <c r="E51" s="164" t="n"/>
      <c r="F51" s="164" t="n"/>
      <c r="G51" s="164" t="n"/>
      <c r="H51" s="164" t="n"/>
      <c r="I51" s="166" t="n"/>
      <c r="J51" s="166" t="n"/>
      <c r="K51" s="166" t="n"/>
      <c r="L51" s="168" t="n"/>
      <c r="M51" s="167">
        <f>H51*I51+J51+K51</f>
        <v/>
      </c>
      <c r="N51" s="167">
        <f>M51*L51</f>
        <v/>
      </c>
      <c r="O51" s="167">
        <f>M51+N51</f>
        <v/>
      </c>
      <c r="P51" s="164" t="n"/>
    </row>
    <row r="52">
      <c r="A52" s="173" t="n"/>
      <c r="B52" s="164" t="n"/>
      <c r="C52" s="164" t="n"/>
      <c r="D52" s="164" t="n"/>
      <c r="E52" s="164" t="n"/>
      <c r="F52" s="164" t="n"/>
      <c r="G52" s="164" t="n"/>
      <c r="H52" s="164" t="n"/>
      <c r="I52" s="166" t="n"/>
      <c r="J52" s="166" t="n"/>
      <c r="K52" s="166" t="n"/>
      <c r="L52" s="168" t="n"/>
      <c r="M52" s="167">
        <f>H52*I52+J52+K52</f>
        <v/>
      </c>
      <c r="N52" s="167">
        <f>M52*L52</f>
        <v/>
      </c>
      <c r="O52" s="167">
        <f>M52+N52</f>
        <v/>
      </c>
      <c r="P52" s="164" t="n"/>
    </row>
    <row r="53">
      <c r="A53" s="173" t="n"/>
      <c r="B53" s="164" t="n"/>
      <c r="C53" s="164" t="n"/>
      <c r="D53" s="164" t="n"/>
      <c r="E53" s="164" t="n"/>
      <c r="F53" s="164" t="n"/>
      <c r="G53" s="164" t="n"/>
      <c r="H53" s="164" t="n"/>
      <c r="I53" s="166" t="n"/>
      <c r="J53" s="166" t="n"/>
      <c r="K53" s="166" t="n"/>
      <c r="L53" s="168" t="n"/>
      <c r="M53" s="167">
        <f>H53*I53+J53+K53</f>
        <v/>
      </c>
      <c r="N53" s="167">
        <f>M53*L53</f>
        <v/>
      </c>
      <c r="O53" s="167">
        <f>M53+N53</f>
        <v/>
      </c>
      <c r="P53" s="164" t="n"/>
    </row>
    <row r="54">
      <c r="A54" s="173" t="n"/>
      <c r="B54" s="164" t="n"/>
      <c r="C54" s="164" t="n"/>
      <c r="D54" s="164" t="n"/>
      <c r="E54" s="164" t="n"/>
      <c r="F54" s="164" t="n"/>
      <c r="G54" s="164" t="n"/>
      <c r="H54" s="164" t="n"/>
      <c r="I54" s="166" t="n"/>
      <c r="J54" s="166" t="n"/>
      <c r="K54" s="166" t="n"/>
      <c r="L54" s="168" t="n"/>
      <c r="M54" s="167">
        <f>H54*I54+J54+K54</f>
        <v/>
      </c>
      <c r="N54" s="167">
        <f>M54*L54</f>
        <v/>
      </c>
      <c r="O54" s="167">
        <f>M54+N54</f>
        <v/>
      </c>
      <c r="P54" s="164" t="n"/>
    </row>
    <row r="55">
      <c r="A55" s="173" t="n"/>
      <c r="B55" s="164" t="n"/>
      <c r="C55" s="164" t="n"/>
      <c r="D55" s="164" t="n"/>
      <c r="E55" s="164" t="n"/>
      <c r="F55" s="164" t="n"/>
      <c r="G55" s="164" t="n"/>
      <c r="H55" s="164" t="n"/>
      <c r="I55" s="166" t="n"/>
      <c r="J55" s="166" t="n"/>
      <c r="K55" s="166" t="n"/>
      <c r="L55" s="168" t="n"/>
      <c r="M55" s="167">
        <f>H55*I55+J55+K55</f>
        <v/>
      </c>
      <c r="N55" s="167">
        <f>M55*L55</f>
        <v/>
      </c>
      <c r="O55" s="167">
        <f>M55+N55</f>
        <v/>
      </c>
      <c r="P55" s="164" t="n"/>
    </row>
    <row r="56">
      <c r="A56" s="173" t="n"/>
      <c r="B56" s="164" t="n"/>
      <c r="C56" s="164" t="n"/>
      <c r="D56" s="164" t="n"/>
      <c r="E56" s="164" t="n"/>
      <c r="F56" s="164" t="n"/>
      <c r="G56" s="164" t="n"/>
      <c r="H56" s="164" t="n"/>
      <c r="I56" s="166" t="n"/>
      <c r="J56" s="166" t="n"/>
      <c r="K56" s="166" t="n"/>
      <c r="L56" s="168" t="n"/>
      <c r="M56" s="167">
        <f>H56*I56+J56+K56</f>
        <v/>
      </c>
      <c r="N56" s="167">
        <f>M56*L56</f>
        <v/>
      </c>
      <c r="O56" s="167">
        <f>M56+N56</f>
        <v/>
      </c>
      <c r="P56" s="164" t="n"/>
    </row>
    <row r="57">
      <c r="A57" s="173" t="n"/>
      <c r="B57" s="164" t="n"/>
      <c r="C57" s="164" t="n"/>
      <c r="D57" s="164" t="n"/>
      <c r="E57" s="164" t="n"/>
      <c r="F57" s="164" t="n"/>
      <c r="G57" s="164" t="n"/>
      <c r="H57" s="164" t="n"/>
      <c r="I57" s="166" t="n"/>
      <c r="J57" s="166" t="n"/>
      <c r="K57" s="166" t="n"/>
      <c r="L57" s="168" t="n"/>
      <c r="M57" s="167">
        <f>H57*I57+J57+K57</f>
        <v/>
      </c>
      <c r="N57" s="167">
        <f>M57*L57</f>
        <v/>
      </c>
      <c r="O57" s="167">
        <f>M57+N57</f>
        <v/>
      </c>
      <c r="P57" s="164" t="n"/>
    </row>
    <row r="58">
      <c r="A58" s="173" t="n"/>
      <c r="B58" s="164" t="n"/>
      <c r="C58" s="164" t="n"/>
      <c r="D58" s="164" t="n"/>
      <c r="E58" s="164" t="n"/>
      <c r="F58" s="164" t="n"/>
      <c r="G58" s="164" t="n"/>
      <c r="H58" s="164" t="n"/>
      <c r="I58" s="166" t="n"/>
      <c r="J58" s="166" t="n"/>
      <c r="K58" s="166" t="n"/>
      <c r="L58" s="168" t="n"/>
      <c r="M58" s="167">
        <f>H58*I58+J58+K58</f>
        <v/>
      </c>
      <c r="N58" s="167">
        <f>M58*L58</f>
        <v/>
      </c>
      <c r="O58" s="167">
        <f>M58+N58</f>
        <v/>
      </c>
      <c r="P58" s="164" t="n"/>
    </row>
    <row r="59">
      <c r="A59" s="173" t="n"/>
      <c r="B59" s="164" t="n"/>
      <c r="C59" s="164" t="n"/>
      <c r="D59" s="164" t="n"/>
      <c r="E59" s="164" t="n"/>
      <c r="F59" s="164" t="n"/>
      <c r="G59" s="164" t="n"/>
      <c r="H59" s="164" t="n"/>
      <c r="I59" s="166" t="n"/>
      <c r="J59" s="166" t="n"/>
      <c r="K59" s="166" t="n"/>
      <c r="L59" s="168" t="n"/>
      <c r="M59" s="167">
        <f>H59*I59+J59+K59</f>
        <v/>
      </c>
      <c r="N59" s="167">
        <f>M59*L59</f>
        <v/>
      </c>
      <c r="O59" s="167">
        <f>M59+N59</f>
        <v/>
      </c>
      <c r="P59" s="164" t="n"/>
    </row>
    <row r="60">
      <c r="A60" s="173" t="n"/>
      <c r="B60" s="164" t="n"/>
      <c r="C60" s="164" t="n"/>
      <c r="D60" s="164" t="n"/>
      <c r="E60" s="164" t="n"/>
      <c r="F60" s="164" t="n"/>
      <c r="G60" s="164" t="n"/>
      <c r="H60" s="164" t="n"/>
      <c r="I60" s="166" t="n"/>
      <c r="J60" s="166" t="n"/>
      <c r="K60" s="166" t="n"/>
      <c r="L60" s="168" t="n"/>
      <c r="M60" s="167">
        <f>H60*I60+J60+K60</f>
        <v/>
      </c>
      <c r="N60" s="167">
        <f>M60*L60</f>
        <v/>
      </c>
      <c r="O60" s="167">
        <f>M60+N60</f>
        <v/>
      </c>
      <c r="P60" s="164" t="n"/>
    </row>
    <row r="61">
      <c r="A61" s="173" t="n"/>
      <c r="B61" s="164" t="n"/>
      <c r="C61" s="164" t="n"/>
      <c r="D61" s="164" t="n"/>
      <c r="E61" s="164" t="n"/>
      <c r="F61" s="164" t="n"/>
      <c r="G61" s="164" t="n"/>
      <c r="H61" s="164" t="n"/>
      <c r="I61" s="166" t="n"/>
      <c r="J61" s="166" t="n"/>
      <c r="K61" s="166" t="n"/>
      <c r="L61" s="168" t="n"/>
      <c r="M61" s="167">
        <f>H61*I61+J61+K61</f>
        <v/>
      </c>
      <c r="N61" s="167">
        <f>M61*L61</f>
        <v/>
      </c>
      <c r="O61" s="167">
        <f>M61+N61</f>
        <v/>
      </c>
      <c r="P61" s="164" t="n"/>
    </row>
    <row r="62">
      <c r="A62" s="173" t="n"/>
      <c r="B62" s="164" t="n"/>
      <c r="C62" s="164" t="n"/>
      <c r="D62" s="164" t="n"/>
      <c r="E62" s="164" t="n"/>
      <c r="F62" s="164" t="n"/>
      <c r="G62" s="164" t="n"/>
      <c r="H62" s="164" t="n"/>
      <c r="I62" s="166" t="n"/>
      <c r="J62" s="166" t="n"/>
      <c r="K62" s="166" t="n"/>
      <c r="L62" s="168" t="n"/>
      <c r="M62" s="167">
        <f>H62*I62+J62+K62</f>
        <v/>
      </c>
      <c r="N62" s="167">
        <f>M62*L62</f>
        <v/>
      </c>
      <c r="O62" s="167">
        <f>M62+N62</f>
        <v/>
      </c>
      <c r="P62" s="164" t="n"/>
    </row>
    <row r="63">
      <c r="A63" s="173" t="n"/>
      <c r="B63" s="164" t="n"/>
      <c r="C63" s="164" t="n"/>
      <c r="D63" s="164" t="n"/>
      <c r="E63" s="164" t="n"/>
      <c r="F63" s="164" t="n"/>
      <c r="G63" s="164" t="n"/>
      <c r="H63" s="164" t="n"/>
      <c r="I63" s="166" t="n"/>
      <c r="J63" s="166" t="n"/>
      <c r="K63" s="166" t="n"/>
      <c r="L63" s="168" t="n"/>
      <c r="M63" s="167">
        <f>H63*I63+J63+K63</f>
        <v/>
      </c>
      <c r="N63" s="167">
        <f>M63*L63</f>
        <v/>
      </c>
      <c r="O63" s="167">
        <f>M63+N63</f>
        <v/>
      </c>
      <c r="P63" s="164" t="n"/>
    </row>
    <row r="64">
      <c r="A64" s="173" t="n"/>
      <c r="B64" s="164" t="n"/>
      <c r="C64" s="164" t="n"/>
      <c r="D64" s="164" t="n"/>
      <c r="E64" s="164" t="n"/>
      <c r="F64" s="164" t="n"/>
      <c r="G64" s="164" t="n"/>
      <c r="H64" s="164" t="n"/>
      <c r="I64" s="166" t="n"/>
      <c r="J64" s="166" t="n"/>
      <c r="K64" s="166" t="n"/>
      <c r="L64" s="168" t="n"/>
      <c r="M64" s="167">
        <f>H64*I64+J64+K64</f>
        <v/>
      </c>
      <c r="N64" s="167">
        <f>M64*L64</f>
        <v/>
      </c>
      <c r="O64" s="167">
        <f>M64+N64</f>
        <v/>
      </c>
      <c r="P64" s="164" t="n"/>
    </row>
    <row r="65">
      <c r="A65" s="173" t="n"/>
      <c r="B65" s="164" t="n"/>
      <c r="C65" s="164" t="n"/>
      <c r="D65" s="164" t="n"/>
      <c r="E65" s="164" t="n"/>
      <c r="F65" s="164" t="n"/>
      <c r="G65" s="164" t="n"/>
      <c r="H65" s="164" t="n"/>
      <c r="I65" s="166" t="n"/>
      <c r="J65" s="166" t="n"/>
      <c r="K65" s="166" t="n"/>
      <c r="L65" s="168" t="n"/>
      <c r="M65" s="167">
        <f>H65*I65+J65+K65</f>
        <v/>
      </c>
      <c r="N65" s="167">
        <f>M65*L65</f>
        <v/>
      </c>
      <c r="O65" s="167">
        <f>M65+N65</f>
        <v/>
      </c>
      <c r="P65" s="164" t="n"/>
    </row>
    <row r="66">
      <c r="A66" s="173" t="n"/>
      <c r="B66" s="164" t="n"/>
      <c r="C66" s="164" t="n"/>
      <c r="D66" s="164" t="n"/>
      <c r="E66" s="164" t="n"/>
      <c r="F66" s="164" t="n"/>
      <c r="G66" s="164" t="n"/>
      <c r="H66" s="164" t="n"/>
      <c r="I66" s="166" t="n"/>
      <c r="J66" s="166" t="n"/>
      <c r="K66" s="166" t="n"/>
      <c r="L66" s="168" t="n"/>
      <c r="M66" s="167">
        <f>H66*I66+J66+K66</f>
        <v/>
      </c>
      <c r="N66" s="167">
        <f>M66*L66</f>
        <v/>
      </c>
      <c r="O66" s="167">
        <f>M66+N66</f>
        <v/>
      </c>
      <c r="P66" s="164" t="n"/>
    </row>
    <row r="67">
      <c r="A67" s="173" t="n"/>
      <c r="B67" s="164" t="n"/>
      <c r="C67" s="164" t="n"/>
      <c r="D67" s="164" t="n"/>
      <c r="E67" s="164" t="n"/>
      <c r="F67" s="164" t="n"/>
      <c r="G67" s="164" t="n"/>
      <c r="H67" s="164" t="n"/>
      <c r="I67" s="166" t="n"/>
      <c r="J67" s="166" t="n"/>
      <c r="K67" s="166" t="n"/>
      <c r="L67" s="168" t="n"/>
      <c r="M67" s="167">
        <f>H67*I67+J67+K67</f>
        <v/>
      </c>
      <c r="N67" s="167">
        <f>M67*L67</f>
        <v/>
      </c>
      <c r="O67" s="167">
        <f>M67+N67</f>
        <v/>
      </c>
      <c r="P67" s="164" t="n"/>
    </row>
    <row r="68">
      <c r="A68" s="173" t="n"/>
      <c r="B68" s="164" t="n"/>
      <c r="C68" s="164" t="n"/>
      <c r="D68" s="164" t="n"/>
      <c r="E68" s="164" t="n"/>
      <c r="F68" s="164" t="n"/>
      <c r="G68" s="164" t="n"/>
      <c r="H68" s="164" t="n"/>
      <c r="I68" s="166" t="n"/>
      <c r="J68" s="166" t="n"/>
      <c r="K68" s="166" t="n"/>
      <c r="L68" s="168" t="n"/>
      <c r="M68" s="167">
        <f>H68*I68+J68+K68</f>
        <v/>
      </c>
      <c r="N68" s="167">
        <f>M68*L68</f>
        <v/>
      </c>
      <c r="O68" s="167">
        <f>M68+N68</f>
        <v/>
      </c>
      <c r="P68" s="164" t="n"/>
    </row>
    <row r="69">
      <c r="A69" s="173" t="n"/>
      <c r="B69" s="164" t="n"/>
      <c r="C69" s="164" t="n"/>
      <c r="D69" s="164" t="n"/>
      <c r="E69" s="164" t="n"/>
      <c r="F69" s="164" t="n"/>
      <c r="G69" s="164" t="n"/>
      <c r="H69" s="164" t="n"/>
      <c r="I69" s="166" t="n"/>
      <c r="J69" s="166" t="n"/>
      <c r="K69" s="166" t="n"/>
      <c r="L69" s="168" t="n"/>
      <c r="M69" s="167">
        <f>H69*I69+J69+K69</f>
        <v/>
      </c>
      <c r="N69" s="167">
        <f>M69*L69</f>
        <v/>
      </c>
      <c r="O69" s="167">
        <f>M69+N69</f>
        <v/>
      </c>
      <c r="P69" s="164" t="n"/>
    </row>
    <row r="70">
      <c r="A70" s="173" t="n"/>
      <c r="B70" s="164" t="n"/>
      <c r="C70" s="164" t="n"/>
      <c r="D70" s="164" t="n"/>
      <c r="E70" s="164" t="n"/>
      <c r="F70" s="164" t="n"/>
      <c r="G70" s="164" t="n"/>
      <c r="H70" s="164" t="n"/>
      <c r="I70" s="166" t="n"/>
      <c r="J70" s="166" t="n"/>
      <c r="K70" s="166" t="n"/>
      <c r="L70" s="168" t="n"/>
      <c r="M70" s="167">
        <f>H70*I70+J70+K70</f>
        <v/>
      </c>
      <c r="N70" s="167">
        <f>M70*L70</f>
        <v/>
      </c>
      <c r="O70" s="167">
        <f>M70+N70</f>
        <v/>
      </c>
      <c r="P70" s="164" t="n"/>
    </row>
    <row r="71">
      <c r="A71" s="173" t="n"/>
      <c r="B71" s="164" t="n"/>
      <c r="C71" s="164" t="n"/>
      <c r="D71" s="164" t="n"/>
      <c r="E71" s="164" t="n"/>
      <c r="F71" s="164" t="n"/>
      <c r="G71" s="164" t="n"/>
      <c r="H71" s="164" t="n"/>
      <c r="I71" s="166" t="n"/>
      <c r="J71" s="166" t="n"/>
      <c r="K71" s="166" t="n"/>
      <c r="L71" s="168" t="n"/>
      <c r="M71" s="167">
        <f>H71*I71+J71+K71</f>
        <v/>
      </c>
      <c r="N71" s="167">
        <f>M71*L71</f>
        <v/>
      </c>
      <c r="O71" s="167">
        <f>M71+N71</f>
        <v/>
      </c>
      <c r="P71" s="164" t="n"/>
    </row>
    <row r="72">
      <c r="A72" s="173" t="n"/>
      <c r="B72" s="164" t="n"/>
      <c r="C72" s="164" t="n"/>
      <c r="D72" s="164" t="n"/>
      <c r="E72" s="164" t="n"/>
      <c r="F72" s="164" t="n"/>
      <c r="G72" s="164" t="n"/>
      <c r="H72" s="164" t="n"/>
      <c r="I72" s="166" t="n"/>
      <c r="J72" s="166" t="n"/>
      <c r="K72" s="166" t="n"/>
      <c r="L72" s="168" t="n"/>
      <c r="M72" s="167">
        <f>H72*I72+J72+K72</f>
        <v/>
      </c>
      <c r="N72" s="167">
        <f>M72*L72</f>
        <v/>
      </c>
      <c r="O72" s="167">
        <f>M72+N72</f>
        <v/>
      </c>
      <c r="P72" s="164" t="n"/>
    </row>
    <row r="73">
      <c r="A73" s="173" t="n"/>
      <c r="B73" s="164" t="n"/>
      <c r="C73" s="164" t="n"/>
      <c r="D73" s="164" t="n"/>
      <c r="E73" s="164" t="n"/>
      <c r="F73" s="164" t="n"/>
      <c r="G73" s="164" t="n"/>
      <c r="H73" s="164" t="n"/>
      <c r="I73" s="166" t="n"/>
      <c r="J73" s="166" t="n"/>
      <c r="K73" s="166" t="n"/>
      <c r="L73" s="168" t="n"/>
      <c r="M73" s="167">
        <f>H73*I73+J73+K73</f>
        <v/>
      </c>
      <c r="N73" s="167">
        <f>M73*L73</f>
        <v/>
      </c>
      <c r="O73" s="167">
        <f>M73+N73</f>
        <v/>
      </c>
      <c r="P73" s="164" t="n"/>
    </row>
    <row r="74">
      <c r="A74" s="173" t="n"/>
      <c r="B74" s="164" t="n"/>
      <c r="C74" s="164" t="n"/>
      <c r="D74" s="164" t="n"/>
      <c r="E74" s="164" t="n"/>
      <c r="F74" s="164" t="n"/>
      <c r="G74" s="164" t="n"/>
      <c r="H74" s="164" t="n"/>
      <c r="I74" s="166" t="n"/>
      <c r="J74" s="166" t="n"/>
      <c r="K74" s="166" t="n"/>
      <c r="L74" s="168" t="n"/>
      <c r="M74" s="167">
        <f>H74*I74+J74+K74</f>
        <v/>
      </c>
      <c r="N74" s="167">
        <f>M74*L74</f>
        <v/>
      </c>
      <c r="O74" s="167">
        <f>M74+N74</f>
        <v/>
      </c>
      <c r="P74" s="164" t="n"/>
    </row>
    <row r="75">
      <c r="A75" s="173" t="n"/>
      <c r="B75" s="164" t="n"/>
      <c r="C75" s="164" t="n"/>
      <c r="D75" s="164" t="n"/>
      <c r="E75" s="164" t="n"/>
      <c r="F75" s="164" t="n"/>
      <c r="G75" s="164" t="n"/>
      <c r="H75" s="164" t="n"/>
      <c r="I75" s="166" t="n"/>
      <c r="J75" s="166" t="n"/>
      <c r="K75" s="166" t="n"/>
      <c r="L75" s="168" t="n"/>
      <c r="M75" s="167">
        <f>H75*I75+J75+K75</f>
        <v/>
      </c>
      <c r="N75" s="167">
        <f>M75*L75</f>
        <v/>
      </c>
      <c r="O75" s="167">
        <f>M75+N75</f>
        <v/>
      </c>
      <c r="P75" s="164" t="n"/>
    </row>
    <row r="76">
      <c r="A76" s="173" t="n"/>
      <c r="B76" s="164" t="n"/>
      <c r="C76" s="164" t="n"/>
      <c r="D76" s="164" t="n"/>
      <c r="E76" s="164" t="n"/>
      <c r="F76" s="164" t="n"/>
      <c r="G76" s="164" t="n"/>
      <c r="H76" s="164" t="n"/>
      <c r="I76" s="166" t="n"/>
      <c r="J76" s="166" t="n"/>
      <c r="K76" s="166" t="n"/>
      <c r="L76" s="168" t="n"/>
      <c r="M76" s="167">
        <f>H76*I76+J76+K76</f>
        <v/>
      </c>
      <c r="N76" s="167">
        <f>M76*L76</f>
        <v/>
      </c>
      <c r="O76" s="167">
        <f>M76+N76</f>
        <v/>
      </c>
      <c r="P76" s="164" t="n"/>
    </row>
    <row r="77">
      <c r="A77" s="173" t="n"/>
      <c r="B77" s="164" t="n"/>
      <c r="C77" s="164" t="n"/>
      <c r="D77" s="164" t="n"/>
      <c r="E77" s="164" t="n"/>
      <c r="F77" s="164" t="n"/>
      <c r="G77" s="164" t="n"/>
      <c r="H77" s="164" t="n"/>
      <c r="I77" s="166" t="n"/>
      <c r="J77" s="166" t="n"/>
      <c r="K77" s="166" t="n"/>
      <c r="L77" s="168" t="n"/>
      <c r="M77" s="167">
        <f>H77*I77+J77+K77</f>
        <v/>
      </c>
      <c r="N77" s="167">
        <f>M77*L77</f>
        <v/>
      </c>
      <c r="O77" s="167">
        <f>M77+N77</f>
        <v/>
      </c>
      <c r="P77" s="164" t="n"/>
    </row>
    <row r="78">
      <c r="A78" s="173" t="n"/>
      <c r="B78" s="164" t="n"/>
      <c r="C78" s="164" t="n"/>
      <c r="D78" s="164" t="n"/>
      <c r="E78" s="164" t="n"/>
      <c r="F78" s="164" t="n"/>
      <c r="G78" s="164" t="n"/>
      <c r="H78" s="164" t="n"/>
      <c r="I78" s="166" t="n"/>
      <c r="J78" s="166" t="n"/>
      <c r="K78" s="166" t="n"/>
      <c r="L78" s="168" t="n"/>
      <c r="M78" s="167">
        <f>H78*I78+J78+K78</f>
        <v/>
      </c>
      <c r="N78" s="167">
        <f>M78*L78</f>
        <v/>
      </c>
      <c r="O78" s="167">
        <f>M78+N78</f>
        <v/>
      </c>
      <c r="P78" s="164" t="n"/>
    </row>
    <row r="79">
      <c r="A79" s="173" t="n"/>
      <c r="B79" s="164" t="n"/>
      <c r="C79" s="164" t="n"/>
      <c r="D79" s="164" t="n"/>
      <c r="E79" s="164" t="n"/>
      <c r="F79" s="164" t="n"/>
      <c r="G79" s="164" t="n"/>
      <c r="H79" s="164" t="n"/>
      <c r="I79" s="166" t="n"/>
      <c r="J79" s="166" t="n"/>
      <c r="K79" s="166" t="n"/>
      <c r="L79" s="168" t="n"/>
      <c r="M79" s="167">
        <f>H79*I79+J79+K79</f>
        <v/>
      </c>
      <c r="N79" s="167">
        <f>M79*L79</f>
        <v/>
      </c>
      <c r="O79" s="167">
        <f>M79+N79</f>
        <v/>
      </c>
      <c r="P79" s="164" t="n"/>
    </row>
    <row r="80">
      <c r="A80" s="173" t="n"/>
      <c r="B80" s="164" t="n"/>
      <c r="C80" s="164" t="n"/>
      <c r="D80" s="164" t="n"/>
      <c r="E80" s="164" t="n"/>
      <c r="F80" s="164" t="n"/>
      <c r="G80" s="164" t="n"/>
      <c r="H80" s="164" t="n"/>
      <c r="I80" s="166" t="n"/>
      <c r="J80" s="166" t="n"/>
      <c r="K80" s="166" t="n"/>
      <c r="L80" s="168" t="n"/>
      <c r="M80" s="167">
        <f>H80*I80+J80+K80</f>
        <v/>
      </c>
      <c r="N80" s="167">
        <f>M80*L80</f>
        <v/>
      </c>
      <c r="O80" s="167">
        <f>M80+N80</f>
        <v/>
      </c>
      <c r="P80" s="164" t="n"/>
    </row>
    <row r="81">
      <c r="A81" s="173" t="n"/>
      <c r="B81" s="164" t="n"/>
      <c r="C81" s="164" t="n"/>
      <c r="D81" s="164" t="n"/>
      <c r="E81" s="164" t="n"/>
      <c r="F81" s="164" t="n"/>
      <c r="G81" s="164" t="n"/>
      <c r="H81" s="164" t="n"/>
      <c r="I81" s="166" t="n"/>
      <c r="J81" s="166" t="n"/>
      <c r="K81" s="166" t="n"/>
      <c r="L81" s="168" t="n"/>
      <c r="M81" s="167">
        <f>H81*I81+J81+K81</f>
        <v/>
      </c>
      <c r="N81" s="167">
        <f>M81*L81</f>
        <v/>
      </c>
      <c r="O81" s="167">
        <f>M81+N81</f>
        <v/>
      </c>
      <c r="P81" s="164" t="n"/>
    </row>
    <row r="82">
      <c r="A82" s="173" t="n"/>
      <c r="B82" s="164" t="n"/>
      <c r="C82" s="164" t="n"/>
      <c r="D82" s="164" t="n"/>
      <c r="E82" s="164" t="n"/>
      <c r="F82" s="164" t="n"/>
      <c r="G82" s="164" t="n"/>
      <c r="H82" s="164" t="n"/>
      <c r="I82" s="166" t="n"/>
      <c r="J82" s="166" t="n"/>
      <c r="K82" s="166" t="n"/>
      <c r="L82" s="168" t="n"/>
      <c r="M82" s="167">
        <f>H82*I82+J82+K82</f>
        <v/>
      </c>
      <c r="N82" s="167">
        <f>M82*L82</f>
        <v/>
      </c>
      <c r="O82" s="167">
        <f>M82+N82</f>
        <v/>
      </c>
      <c r="P82" s="164" t="n"/>
    </row>
    <row r="83">
      <c r="A83" s="173" t="n"/>
      <c r="B83" s="164" t="n"/>
      <c r="C83" s="164" t="n"/>
      <c r="D83" s="164" t="n"/>
      <c r="E83" s="164" t="n"/>
      <c r="F83" s="164" t="n"/>
      <c r="G83" s="164" t="n"/>
      <c r="H83" s="164" t="n"/>
      <c r="I83" s="166" t="n"/>
      <c r="J83" s="166" t="n"/>
      <c r="K83" s="166" t="n"/>
      <c r="L83" s="168" t="n"/>
      <c r="M83" s="167">
        <f>H83*I83+J83+K83</f>
        <v/>
      </c>
      <c r="N83" s="167">
        <f>M83*L83</f>
        <v/>
      </c>
      <c r="O83" s="167">
        <f>M83+N83</f>
        <v/>
      </c>
      <c r="P83" s="164" t="n"/>
    </row>
    <row r="84">
      <c r="A84" s="173" t="n"/>
      <c r="B84" s="164" t="n"/>
      <c r="C84" s="164" t="n"/>
      <c r="D84" s="164" t="n"/>
      <c r="E84" s="164" t="n"/>
      <c r="F84" s="164" t="n"/>
      <c r="G84" s="164" t="n"/>
      <c r="H84" s="164" t="n"/>
      <c r="I84" s="166" t="n"/>
      <c r="J84" s="166" t="n"/>
      <c r="K84" s="166" t="n"/>
      <c r="L84" s="168" t="n"/>
      <c r="M84" s="167">
        <f>H84*I84+J84+K84</f>
        <v/>
      </c>
      <c r="N84" s="167">
        <f>M84*L84</f>
        <v/>
      </c>
      <c r="O84" s="167">
        <f>M84+N84</f>
        <v/>
      </c>
      <c r="P84" s="164" t="n"/>
    </row>
    <row r="85">
      <c r="A85" s="173" t="n"/>
      <c r="B85" s="164" t="n"/>
      <c r="C85" s="164" t="n"/>
      <c r="D85" s="164" t="n"/>
      <c r="E85" s="164" t="n"/>
      <c r="F85" s="164" t="n"/>
      <c r="G85" s="164" t="n"/>
      <c r="H85" s="164" t="n"/>
      <c r="I85" s="166" t="n"/>
      <c r="J85" s="166" t="n"/>
      <c r="K85" s="166" t="n"/>
      <c r="L85" s="168" t="n"/>
      <c r="M85" s="167">
        <f>H85*I85+J85+K85</f>
        <v/>
      </c>
      <c r="N85" s="167">
        <f>M85*L85</f>
        <v/>
      </c>
      <c r="O85" s="167">
        <f>M85+N85</f>
        <v/>
      </c>
      <c r="P85" s="164" t="n"/>
    </row>
    <row r="86">
      <c r="A86" s="173" t="n"/>
      <c r="B86" s="164" t="n"/>
      <c r="C86" s="164" t="n"/>
      <c r="D86" s="164" t="n"/>
      <c r="E86" s="164" t="n"/>
      <c r="F86" s="164" t="n"/>
      <c r="G86" s="164" t="n"/>
      <c r="H86" s="164" t="n"/>
      <c r="I86" s="166" t="n"/>
      <c r="J86" s="166" t="n"/>
      <c r="K86" s="166" t="n"/>
      <c r="L86" s="168" t="n"/>
      <c r="M86" s="167">
        <f>H86*I86+J86+K86</f>
        <v/>
      </c>
      <c r="N86" s="167">
        <f>M86*L86</f>
        <v/>
      </c>
      <c r="O86" s="167">
        <f>M86+N86</f>
        <v/>
      </c>
      <c r="P86" s="164" t="n"/>
    </row>
    <row r="87">
      <c r="A87" s="173" t="n"/>
      <c r="B87" s="164" t="n"/>
      <c r="C87" s="164" t="n"/>
      <c r="D87" s="164" t="n"/>
      <c r="E87" s="164" t="n"/>
      <c r="F87" s="164" t="n"/>
      <c r="G87" s="164" t="n"/>
      <c r="H87" s="164" t="n"/>
      <c r="I87" s="166" t="n"/>
      <c r="J87" s="166" t="n"/>
      <c r="K87" s="166" t="n"/>
      <c r="L87" s="168" t="n"/>
      <c r="M87" s="167">
        <f>H87*I87+J87+K87</f>
        <v/>
      </c>
      <c r="N87" s="167">
        <f>M87*L87</f>
        <v/>
      </c>
      <c r="O87" s="167">
        <f>M87+N87</f>
        <v/>
      </c>
      <c r="P87" s="164" t="n"/>
    </row>
    <row r="88">
      <c r="A88" s="173" t="n"/>
      <c r="B88" s="164" t="n"/>
      <c r="C88" s="164" t="n"/>
      <c r="D88" s="164" t="n"/>
      <c r="E88" s="164" t="n"/>
      <c r="F88" s="164" t="n"/>
      <c r="G88" s="164" t="n"/>
      <c r="H88" s="164" t="n"/>
      <c r="I88" s="166" t="n"/>
      <c r="J88" s="166" t="n"/>
      <c r="K88" s="166" t="n"/>
      <c r="L88" s="168" t="n"/>
      <c r="M88" s="167">
        <f>H88*I88+J88+K88</f>
        <v/>
      </c>
      <c r="N88" s="167">
        <f>M88*L88</f>
        <v/>
      </c>
      <c r="O88" s="167">
        <f>M88+N88</f>
        <v/>
      </c>
      <c r="P88" s="164" t="n"/>
    </row>
    <row r="89">
      <c r="A89" s="173" t="n"/>
      <c r="B89" s="164" t="n"/>
      <c r="C89" s="164" t="n"/>
      <c r="D89" s="164" t="n"/>
      <c r="E89" s="164" t="n"/>
      <c r="F89" s="164" t="n"/>
      <c r="G89" s="164" t="n"/>
      <c r="H89" s="164" t="n"/>
      <c r="I89" s="166" t="n"/>
      <c r="J89" s="166" t="n"/>
      <c r="K89" s="166" t="n"/>
      <c r="L89" s="168" t="n"/>
      <c r="M89" s="167">
        <f>H89*I89+J89+K89</f>
        <v/>
      </c>
      <c r="N89" s="167">
        <f>M89*L89</f>
        <v/>
      </c>
      <c r="O89" s="167">
        <f>M89+N89</f>
        <v/>
      </c>
      <c r="P89" s="164" t="n"/>
    </row>
    <row r="90">
      <c r="A90" s="173" t="n"/>
      <c r="B90" s="164" t="n"/>
      <c r="C90" s="164" t="n"/>
      <c r="D90" s="164" t="n"/>
      <c r="E90" s="164" t="n"/>
      <c r="F90" s="164" t="n"/>
      <c r="G90" s="164" t="n"/>
      <c r="H90" s="164" t="n"/>
      <c r="I90" s="166" t="n"/>
      <c r="J90" s="166" t="n"/>
      <c r="K90" s="166" t="n"/>
      <c r="L90" s="168" t="n"/>
      <c r="M90" s="167">
        <f>H90*I90+J90+K90</f>
        <v/>
      </c>
      <c r="N90" s="167">
        <f>M90*L90</f>
        <v/>
      </c>
      <c r="O90" s="167">
        <f>M90+N90</f>
        <v/>
      </c>
      <c r="P90" s="164" t="n"/>
    </row>
    <row r="91">
      <c r="A91" s="173" t="n"/>
      <c r="B91" s="164" t="n"/>
      <c r="C91" s="164" t="n"/>
      <c r="D91" s="164" t="n"/>
      <c r="E91" s="164" t="n"/>
      <c r="F91" s="164" t="n"/>
      <c r="G91" s="164" t="n"/>
      <c r="H91" s="164" t="n"/>
      <c r="I91" s="166" t="n"/>
      <c r="J91" s="166" t="n"/>
      <c r="K91" s="166" t="n"/>
      <c r="L91" s="168" t="n"/>
      <c r="M91" s="167">
        <f>H91*I91+J91+K91</f>
        <v/>
      </c>
      <c r="N91" s="167">
        <f>M91*L91</f>
        <v/>
      </c>
      <c r="O91" s="167">
        <f>M91+N91</f>
        <v/>
      </c>
      <c r="P91" s="164" t="n"/>
    </row>
    <row r="92">
      <c r="A92" s="173" t="n"/>
      <c r="B92" s="164" t="n"/>
      <c r="C92" s="164" t="n"/>
      <c r="D92" s="164" t="n"/>
      <c r="E92" s="164" t="n"/>
      <c r="F92" s="164" t="n"/>
      <c r="G92" s="164" t="n"/>
      <c r="H92" s="164" t="n"/>
      <c r="I92" s="166" t="n"/>
      <c r="J92" s="166" t="n"/>
      <c r="K92" s="166" t="n"/>
      <c r="L92" s="168" t="n"/>
      <c r="M92" s="167">
        <f>H92*I92+J92+K92</f>
        <v/>
      </c>
      <c r="N92" s="167">
        <f>M92*L92</f>
        <v/>
      </c>
      <c r="O92" s="167">
        <f>M92+N92</f>
        <v/>
      </c>
      <c r="P92" s="164" t="n"/>
    </row>
    <row r="93">
      <c r="A93" s="173" t="n"/>
      <c r="B93" s="164" t="n"/>
      <c r="C93" s="164" t="n"/>
      <c r="D93" s="164" t="n"/>
      <c r="E93" s="164" t="n"/>
      <c r="F93" s="164" t="n"/>
      <c r="G93" s="164" t="n"/>
      <c r="H93" s="164" t="n"/>
      <c r="I93" s="166" t="n"/>
      <c r="J93" s="166" t="n"/>
      <c r="K93" s="166" t="n"/>
      <c r="L93" s="168" t="n"/>
      <c r="M93" s="167">
        <f>H93*I93+J93+K93</f>
        <v/>
      </c>
      <c r="N93" s="167">
        <f>M93*L93</f>
        <v/>
      </c>
      <c r="O93" s="167">
        <f>M93+N93</f>
        <v/>
      </c>
      <c r="P93" s="164" t="n"/>
    </row>
    <row r="94">
      <c r="A94" s="173" t="n"/>
      <c r="B94" s="164" t="n"/>
      <c r="C94" s="164" t="n"/>
      <c r="D94" s="164" t="n"/>
      <c r="E94" s="164" t="n"/>
      <c r="F94" s="164" t="n"/>
      <c r="G94" s="164" t="n"/>
      <c r="H94" s="164" t="n"/>
      <c r="I94" s="166" t="n"/>
      <c r="J94" s="166" t="n"/>
      <c r="K94" s="166" t="n"/>
      <c r="L94" s="168" t="n"/>
      <c r="M94" s="167">
        <f>H94*I94+J94+K94</f>
        <v/>
      </c>
      <c r="N94" s="167">
        <f>M94*L94</f>
        <v/>
      </c>
      <c r="O94" s="167">
        <f>M94+N94</f>
        <v/>
      </c>
      <c r="P94" s="164" t="n"/>
    </row>
    <row r="95">
      <c r="A95" s="173" t="n"/>
      <c r="B95" s="164" t="n"/>
      <c r="C95" s="164" t="n"/>
      <c r="D95" s="164" t="n"/>
      <c r="E95" s="164" t="n"/>
      <c r="F95" s="164" t="n"/>
      <c r="G95" s="164" t="n"/>
      <c r="H95" s="164" t="n"/>
      <c r="I95" s="166" t="n"/>
      <c r="J95" s="166" t="n"/>
      <c r="K95" s="166" t="n"/>
      <c r="L95" s="168" t="n"/>
      <c r="M95" s="167">
        <f>H95*I95+J95+K95</f>
        <v/>
      </c>
      <c r="N95" s="167">
        <f>M95*L95</f>
        <v/>
      </c>
      <c r="O95" s="167">
        <f>M95+N95</f>
        <v/>
      </c>
      <c r="P95" s="164" t="n"/>
    </row>
    <row r="96">
      <c r="A96" s="173" t="n"/>
      <c r="B96" s="164" t="n"/>
      <c r="C96" s="164" t="n"/>
      <c r="D96" s="164" t="n"/>
      <c r="E96" s="164" t="n"/>
      <c r="F96" s="164" t="n"/>
      <c r="G96" s="164" t="n"/>
      <c r="H96" s="164" t="n"/>
      <c r="I96" s="166" t="n"/>
      <c r="J96" s="166" t="n"/>
      <c r="K96" s="166" t="n"/>
      <c r="L96" s="168" t="n"/>
      <c r="M96" s="167">
        <f>H96*I96+J96+K96</f>
        <v/>
      </c>
      <c r="N96" s="167">
        <f>M96*L96</f>
        <v/>
      </c>
      <c r="O96" s="167">
        <f>M96+N96</f>
        <v/>
      </c>
      <c r="P96" s="164" t="n"/>
    </row>
    <row r="97">
      <c r="A97" s="173" t="n"/>
      <c r="B97" s="164" t="n"/>
      <c r="C97" s="164" t="n"/>
      <c r="D97" s="164" t="n"/>
      <c r="E97" s="164" t="n"/>
      <c r="F97" s="164" t="n"/>
      <c r="G97" s="164" t="n"/>
      <c r="H97" s="164" t="n"/>
      <c r="I97" s="166" t="n"/>
      <c r="J97" s="166" t="n"/>
      <c r="K97" s="166" t="n"/>
      <c r="L97" s="168" t="n"/>
      <c r="M97" s="167">
        <f>H97*I97+J97+K97</f>
        <v/>
      </c>
      <c r="N97" s="167">
        <f>M97*L97</f>
        <v/>
      </c>
      <c r="O97" s="167">
        <f>M97+N97</f>
        <v/>
      </c>
      <c r="P97" s="164" t="n"/>
    </row>
    <row r="98">
      <c r="A98" s="173" t="n"/>
      <c r="B98" s="164" t="n"/>
      <c r="C98" s="164" t="n"/>
      <c r="D98" s="164" t="n"/>
      <c r="E98" s="164" t="n"/>
      <c r="F98" s="164" t="n"/>
      <c r="G98" s="164" t="n"/>
      <c r="H98" s="164" t="n"/>
      <c r="I98" s="166" t="n"/>
      <c r="J98" s="166" t="n"/>
      <c r="K98" s="166" t="n"/>
      <c r="L98" s="168" t="n"/>
      <c r="M98" s="167">
        <f>H98*I98+J98+K98</f>
        <v/>
      </c>
      <c r="N98" s="167">
        <f>M98*L98</f>
        <v/>
      </c>
      <c r="O98" s="167">
        <f>M98+N98</f>
        <v/>
      </c>
      <c r="P98" s="164" t="n"/>
    </row>
    <row r="99">
      <c r="A99" s="173" t="n"/>
      <c r="B99" s="164" t="n"/>
      <c r="C99" s="164" t="n"/>
      <c r="D99" s="164" t="n"/>
      <c r="E99" s="164" t="n"/>
      <c r="F99" s="164" t="n"/>
      <c r="G99" s="164" t="n"/>
      <c r="H99" s="164" t="n"/>
      <c r="I99" s="166" t="n"/>
      <c r="J99" s="166" t="n"/>
      <c r="K99" s="166" t="n"/>
      <c r="L99" s="168" t="n"/>
      <c r="M99" s="167">
        <f>H99*I99+J99+K99</f>
        <v/>
      </c>
      <c r="N99" s="167">
        <f>M99*L99</f>
        <v/>
      </c>
      <c r="O99" s="167">
        <f>M99+N99</f>
        <v/>
      </c>
      <c r="P99" s="164" t="n"/>
    </row>
    <row r="100">
      <c r="A100" s="173" t="n"/>
      <c r="B100" s="164" t="n"/>
      <c r="C100" s="164" t="n"/>
      <c r="D100" s="164" t="n"/>
      <c r="E100" s="164" t="n"/>
      <c r="F100" s="164" t="n"/>
      <c r="G100" s="164" t="n"/>
      <c r="H100" s="164" t="n"/>
      <c r="I100" s="166" t="n"/>
      <c r="J100" s="166" t="n"/>
      <c r="K100" s="166" t="n"/>
      <c r="L100" s="168" t="n"/>
      <c r="M100" s="167">
        <f>H100*I100+J100+K100</f>
        <v/>
      </c>
      <c r="N100" s="167">
        <f>M100*L100</f>
        <v/>
      </c>
      <c r="O100" s="167">
        <f>M100+N100</f>
        <v/>
      </c>
      <c r="P100" s="164" t="n"/>
    </row>
    <row r="101">
      <c r="A101" s="173" t="n"/>
      <c r="B101" s="164" t="n"/>
      <c r="C101" s="164" t="n"/>
      <c r="D101" s="164" t="n"/>
      <c r="E101" s="164" t="n"/>
      <c r="F101" s="164" t="n"/>
      <c r="G101" s="164" t="n"/>
      <c r="H101" s="164" t="n"/>
      <c r="I101" s="166" t="n"/>
      <c r="J101" s="166" t="n"/>
      <c r="K101" s="166" t="n"/>
      <c r="L101" s="168" t="n"/>
      <c r="M101" s="167">
        <f>H101*I101+J101+K101</f>
        <v/>
      </c>
      <c r="N101" s="167">
        <f>M101*L101</f>
        <v/>
      </c>
      <c r="O101" s="167">
        <f>M101+N101</f>
        <v/>
      </c>
      <c r="P101" s="164" t="n"/>
    </row>
    <row r="102">
      <c r="A102" s="173" t="n"/>
      <c r="B102" s="164" t="n"/>
      <c r="C102" s="164" t="n"/>
      <c r="D102" s="164" t="n"/>
      <c r="E102" s="164" t="n"/>
      <c r="F102" s="164" t="n"/>
      <c r="G102" s="164" t="n"/>
      <c r="H102" s="164" t="n"/>
      <c r="I102" s="166" t="n"/>
      <c r="J102" s="166" t="n"/>
      <c r="K102" s="166" t="n"/>
      <c r="L102" s="168" t="n"/>
      <c r="M102" s="167">
        <f>H102*I102+J102+K102</f>
        <v/>
      </c>
      <c r="N102" s="167">
        <f>M102*L102</f>
        <v/>
      </c>
      <c r="O102" s="167">
        <f>M102+N102</f>
        <v/>
      </c>
      <c r="P102" s="164" t="n"/>
    </row>
    <row r="103">
      <c r="A103" s="173" t="n"/>
      <c r="B103" s="164" t="n"/>
      <c r="C103" s="164" t="n"/>
      <c r="D103" s="164" t="n"/>
      <c r="E103" s="164" t="n"/>
      <c r="F103" s="164" t="n"/>
      <c r="G103" s="164" t="n"/>
      <c r="H103" s="164" t="n"/>
      <c r="I103" s="166" t="n"/>
      <c r="J103" s="166" t="n"/>
      <c r="K103" s="166" t="n"/>
      <c r="L103" s="168" t="n"/>
      <c r="M103" s="167">
        <f>H103*I103+J103+K103</f>
        <v/>
      </c>
      <c r="N103" s="167">
        <f>M103*L103</f>
        <v/>
      </c>
      <c r="O103" s="167">
        <f>M103+N103</f>
        <v/>
      </c>
      <c r="P103" s="164" t="n"/>
    </row>
    <row r="104">
      <c r="A104" s="173" t="n"/>
      <c r="B104" s="164" t="n"/>
      <c r="C104" s="164" t="n"/>
      <c r="D104" s="164" t="n"/>
      <c r="E104" s="164" t="n"/>
      <c r="F104" s="164" t="n"/>
      <c r="G104" s="164" t="n"/>
      <c r="H104" s="164" t="n"/>
      <c r="I104" s="166" t="n"/>
      <c r="J104" s="166" t="n"/>
      <c r="K104" s="166" t="n"/>
      <c r="L104" s="168" t="n"/>
      <c r="M104" s="167">
        <f>H104*I104+J104+K104</f>
        <v/>
      </c>
      <c r="N104" s="167">
        <f>M104*L104</f>
        <v/>
      </c>
      <c r="O104" s="167">
        <f>M104+N104</f>
        <v/>
      </c>
      <c r="P104" s="164" t="n"/>
    </row>
    <row r="105">
      <c r="A105" s="173" t="n"/>
      <c r="B105" s="164" t="n"/>
      <c r="C105" s="164" t="n"/>
      <c r="D105" s="164" t="n"/>
      <c r="E105" s="164" t="n"/>
      <c r="F105" s="164" t="n"/>
      <c r="G105" s="164" t="n"/>
      <c r="H105" s="164" t="n"/>
      <c r="I105" s="166" t="n"/>
      <c r="J105" s="166" t="n"/>
      <c r="K105" s="166" t="n"/>
      <c r="L105" s="168" t="n"/>
      <c r="M105" s="167">
        <f>H105*I105+J105+K105</f>
        <v/>
      </c>
      <c r="N105" s="167">
        <f>M105*L105</f>
        <v/>
      </c>
      <c r="O105" s="167">
        <f>M105+N105</f>
        <v/>
      </c>
      <c r="P105" s="164" t="n"/>
    </row>
    <row r="106">
      <c r="A106" s="173" t="n"/>
      <c r="B106" s="164" t="n"/>
      <c r="C106" s="164" t="n"/>
      <c r="D106" s="164" t="n"/>
      <c r="E106" s="164" t="n"/>
      <c r="F106" s="164" t="n"/>
      <c r="G106" s="164" t="n"/>
      <c r="H106" s="164" t="n"/>
      <c r="I106" s="166" t="n"/>
      <c r="J106" s="166" t="n"/>
      <c r="K106" s="166" t="n"/>
      <c r="L106" s="168" t="n"/>
      <c r="M106" s="167">
        <f>H106*I106+J106+K106</f>
        <v/>
      </c>
      <c r="N106" s="167">
        <f>M106*L106</f>
        <v/>
      </c>
      <c r="O106" s="167">
        <f>M106+N106</f>
        <v/>
      </c>
      <c r="P106" s="164" t="n"/>
    </row>
    <row r="107">
      <c r="A107" s="173" t="n"/>
      <c r="B107" s="164" t="n"/>
      <c r="C107" s="164" t="n"/>
      <c r="D107" s="164" t="n"/>
      <c r="E107" s="164" t="n"/>
      <c r="F107" s="164" t="n"/>
      <c r="G107" s="164" t="n"/>
      <c r="H107" s="164" t="n"/>
      <c r="I107" s="166" t="n"/>
      <c r="J107" s="166" t="n"/>
      <c r="K107" s="166" t="n"/>
      <c r="L107" s="168" t="n"/>
      <c r="M107" s="167">
        <f>H107*I107+J107+K107</f>
        <v/>
      </c>
      <c r="N107" s="167">
        <f>M107*L107</f>
        <v/>
      </c>
      <c r="O107" s="167">
        <f>M107+N107</f>
        <v/>
      </c>
      <c r="P107" s="164" t="n"/>
    </row>
    <row r="108">
      <c r="A108" s="173" t="n"/>
      <c r="B108" s="164" t="n"/>
      <c r="C108" s="164" t="n"/>
      <c r="D108" s="164" t="n"/>
      <c r="E108" s="164" t="n"/>
      <c r="F108" s="164" t="n"/>
      <c r="G108" s="164" t="n"/>
      <c r="H108" s="164" t="n"/>
      <c r="I108" s="166" t="n"/>
      <c r="J108" s="166" t="n"/>
      <c r="K108" s="166" t="n"/>
      <c r="L108" s="168" t="n"/>
      <c r="M108" s="167">
        <f>H108*I108+J108+K108</f>
        <v/>
      </c>
      <c r="N108" s="167">
        <f>M108*L108</f>
        <v/>
      </c>
      <c r="O108" s="167">
        <f>M108+N108</f>
        <v/>
      </c>
      <c r="P108" s="164" t="n"/>
    </row>
    <row r="109">
      <c r="A109" s="173" t="n"/>
      <c r="B109" s="164" t="n"/>
      <c r="C109" s="164" t="n"/>
      <c r="D109" s="164" t="n"/>
      <c r="E109" s="164" t="n"/>
      <c r="F109" s="164" t="n"/>
      <c r="G109" s="164" t="n"/>
      <c r="H109" s="164" t="n"/>
      <c r="I109" s="166" t="n"/>
      <c r="J109" s="166" t="n"/>
      <c r="K109" s="166" t="n"/>
      <c r="L109" s="168" t="n"/>
      <c r="M109" s="167">
        <f>H109*I109+J109+K109</f>
        <v/>
      </c>
      <c r="N109" s="167">
        <f>M109*L109</f>
        <v/>
      </c>
      <c r="O109" s="167">
        <f>M109+N109</f>
        <v/>
      </c>
      <c r="P109" s="164" t="n"/>
    </row>
    <row r="110">
      <c r="A110" s="173" t="n"/>
      <c r="B110" s="164" t="n"/>
      <c r="C110" s="164" t="n"/>
      <c r="D110" s="164" t="n"/>
      <c r="E110" s="164" t="n"/>
      <c r="F110" s="164" t="n"/>
      <c r="G110" s="164" t="n"/>
      <c r="H110" s="164" t="n"/>
      <c r="I110" s="166" t="n"/>
      <c r="J110" s="166" t="n"/>
      <c r="K110" s="166" t="n"/>
      <c r="L110" s="168" t="n"/>
      <c r="M110" s="167">
        <f>H110*I110+J110+K110</f>
        <v/>
      </c>
      <c r="N110" s="167">
        <f>M110*L110</f>
        <v/>
      </c>
      <c r="O110" s="167">
        <f>M110+N110</f>
        <v/>
      </c>
      <c r="P110" s="164" t="n"/>
    </row>
    <row r="111">
      <c r="A111" s="173" t="n"/>
      <c r="B111" s="164" t="n"/>
      <c r="C111" s="164" t="n"/>
      <c r="D111" s="164" t="n"/>
      <c r="E111" s="164" t="n"/>
      <c r="F111" s="164" t="n"/>
      <c r="G111" s="164" t="n"/>
      <c r="H111" s="164" t="n"/>
      <c r="I111" s="166" t="n"/>
      <c r="J111" s="166" t="n"/>
      <c r="K111" s="166" t="n"/>
      <c r="L111" s="168" t="n"/>
      <c r="M111" s="167">
        <f>H111*I111+J111+K111</f>
        <v/>
      </c>
      <c r="N111" s="167">
        <f>M111*L111</f>
        <v/>
      </c>
      <c r="O111" s="167">
        <f>M111+N111</f>
        <v/>
      </c>
      <c r="P111" s="164" t="n"/>
    </row>
    <row r="112">
      <c r="A112" s="173" t="n"/>
      <c r="B112" s="164" t="n"/>
      <c r="C112" s="164" t="n"/>
      <c r="D112" s="164" t="n"/>
      <c r="E112" s="164" t="n"/>
      <c r="F112" s="164" t="n"/>
      <c r="G112" s="164" t="n"/>
      <c r="H112" s="164" t="n"/>
      <c r="I112" s="166" t="n"/>
      <c r="J112" s="166" t="n"/>
      <c r="K112" s="166" t="n"/>
      <c r="L112" s="168" t="n"/>
      <c r="M112" s="167">
        <f>H112*I112+J112+K112</f>
        <v/>
      </c>
      <c r="N112" s="167">
        <f>M112*L112</f>
        <v/>
      </c>
      <c r="O112" s="167">
        <f>M112+N112</f>
        <v/>
      </c>
      <c r="P112" s="164" t="n"/>
    </row>
    <row r="113">
      <c r="A113" s="173" t="n"/>
      <c r="B113" s="164" t="n"/>
      <c r="C113" s="164" t="n"/>
      <c r="D113" s="164" t="n"/>
      <c r="E113" s="164" t="n"/>
      <c r="F113" s="164" t="n"/>
      <c r="G113" s="164" t="n"/>
      <c r="H113" s="164" t="n"/>
      <c r="I113" s="166" t="n"/>
      <c r="J113" s="166" t="n"/>
      <c r="K113" s="166" t="n"/>
      <c r="L113" s="168" t="n"/>
      <c r="M113" s="167">
        <f>H113*I113+J113+K113</f>
        <v/>
      </c>
      <c r="N113" s="167">
        <f>M113*L113</f>
        <v/>
      </c>
      <c r="O113" s="167">
        <f>M113+N113</f>
        <v/>
      </c>
      <c r="P113" s="164" t="n"/>
    </row>
    <row r="114">
      <c r="A114" s="173" t="n"/>
      <c r="B114" s="164" t="n"/>
      <c r="C114" s="164" t="n"/>
      <c r="D114" s="164" t="n"/>
      <c r="E114" s="164" t="n"/>
      <c r="F114" s="164" t="n"/>
      <c r="G114" s="164" t="n"/>
      <c r="H114" s="164" t="n"/>
      <c r="I114" s="166" t="n"/>
      <c r="J114" s="166" t="n"/>
      <c r="K114" s="166" t="n"/>
      <c r="L114" s="168" t="n"/>
      <c r="M114" s="167">
        <f>H114*I114+J114+K114</f>
        <v/>
      </c>
      <c r="N114" s="167">
        <f>M114*L114</f>
        <v/>
      </c>
      <c r="O114" s="167">
        <f>M114+N114</f>
        <v/>
      </c>
      <c r="P114" s="164" t="n"/>
    </row>
    <row r="115">
      <c r="A115" s="173" t="n"/>
      <c r="B115" s="164" t="n"/>
      <c r="C115" s="164" t="n"/>
      <c r="D115" s="164" t="n"/>
      <c r="E115" s="164" t="n"/>
      <c r="F115" s="164" t="n"/>
      <c r="G115" s="164" t="n"/>
      <c r="H115" s="164" t="n"/>
      <c r="I115" s="166" t="n"/>
      <c r="J115" s="166" t="n"/>
      <c r="K115" s="166" t="n"/>
      <c r="L115" s="168" t="n"/>
      <c r="M115" s="167">
        <f>H115*I115+J115+K115</f>
        <v/>
      </c>
      <c r="N115" s="167">
        <f>M115*L115</f>
        <v/>
      </c>
      <c r="O115" s="167">
        <f>M115+N115</f>
        <v/>
      </c>
      <c r="P115" s="164" t="n"/>
    </row>
    <row r="116">
      <c r="A116" s="173" t="n"/>
      <c r="B116" s="164" t="n"/>
      <c r="C116" s="164" t="n"/>
      <c r="D116" s="164" t="n"/>
      <c r="E116" s="164" t="n"/>
      <c r="F116" s="164" t="n"/>
      <c r="G116" s="164" t="n"/>
      <c r="H116" s="164" t="n"/>
      <c r="I116" s="166" t="n"/>
      <c r="J116" s="166" t="n"/>
      <c r="K116" s="166" t="n"/>
      <c r="L116" s="168" t="n"/>
      <c r="M116" s="167">
        <f>H116*I116+J116+K116</f>
        <v/>
      </c>
      <c r="N116" s="167">
        <f>M116*L116</f>
        <v/>
      </c>
      <c r="O116" s="167">
        <f>M116+N116</f>
        <v/>
      </c>
      <c r="P116" s="164" t="n"/>
    </row>
    <row r="117">
      <c r="A117" s="173" t="n"/>
      <c r="B117" s="164" t="n"/>
      <c r="C117" s="164" t="n"/>
      <c r="D117" s="164" t="n"/>
      <c r="E117" s="164" t="n"/>
      <c r="F117" s="164" t="n"/>
      <c r="G117" s="164" t="n"/>
      <c r="H117" s="164" t="n"/>
      <c r="I117" s="166" t="n"/>
      <c r="J117" s="166" t="n"/>
      <c r="K117" s="166" t="n"/>
      <c r="L117" s="168" t="n"/>
      <c r="M117" s="167">
        <f>H117*I117+J117+K117</f>
        <v/>
      </c>
      <c r="N117" s="167">
        <f>M117*L117</f>
        <v/>
      </c>
      <c r="O117" s="167">
        <f>M117+N117</f>
        <v/>
      </c>
      <c r="P117" s="164" t="n"/>
    </row>
    <row r="118">
      <c r="A118" s="173" t="n"/>
      <c r="B118" s="164" t="n"/>
      <c r="C118" s="164" t="n"/>
      <c r="D118" s="164" t="n"/>
      <c r="E118" s="164" t="n"/>
      <c r="F118" s="164" t="n"/>
      <c r="G118" s="164" t="n"/>
      <c r="H118" s="164" t="n"/>
      <c r="I118" s="166" t="n"/>
      <c r="J118" s="166" t="n"/>
      <c r="K118" s="166" t="n"/>
      <c r="L118" s="168" t="n"/>
      <c r="M118" s="167">
        <f>H118*I118+J118+K118</f>
        <v/>
      </c>
      <c r="N118" s="167">
        <f>M118*L118</f>
        <v/>
      </c>
      <c r="O118" s="167">
        <f>M118+N118</f>
        <v/>
      </c>
      <c r="P118" s="164" t="n"/>
    </row>
    <row r="119">
      <c r="A119" s="173" t="n"/>
      <c r="B119" s="164" t="n"/>
      <c r="C119" s="164" t="n"/>
      <c r="D119" s="164" t="n"/>
      <c r="E119" s="164" t="n"/>
      <c r="F119" s="164" t="n"/>
      <c r="G119" s="164" t="n"/>
      <c r="H119" s="164" t="n"/>
      <c r="I119" s="166" t="n"/>
      <c r="J119" s="166" t="n"/>
      <c r="K119" s="166" t="n"/>
      <c r="L119" s="168" t="n"/>
      <c r="M119" s="167">
        <f>H119*I119+J119+K119</f>
        <v/>
      </c>
      <c r="N119" s="167">
        <f>M119*L119</f>
        <v/>
      </c>
      <c r="O119" s="167">
        <f>M119+N119</f>
        <v/>
      </c>
      <c r="P119" s="164" t="n"/>
    </row>
    <row r="120">
      <c r="A120" s="173" t="n"/>
      <c r="B120" s="164" t="n"/>
      <c r="C120" s="164" t="n"/>
      <c r="D120" s="164" t="n"/>
      <c r="E120" s="164" t="n"/>
      <c r="F120" s="164" t="n"/>
      <c r="G120" s="164" t="n"/>
      <c r="H120" s="164" t="n"/>
      <c r="I120" s="166" t="n"/>
      <c r="J120" s="166" t="n"/>
      <c r="K120" s="166" t="n"/>
      <c r="L120" s="168" t="n"/>
      <c r="M120" s="167">
        <f>H120*I120+J120+K120</f>
        <v/>
      </c>
      <c r="N120" s="167">
        <f>M120*L120</f>
        <v/>
      </c>
      <c r="O120" s="167">
        <f>M120+N120</f>
        <v/>
      </c>
      <c r="P120" s="164" t="n"/>
    </row>
    <row r="121">
      <c r="A121" s="173" t="n"/>
      <c r="B121" s="164" t="n"/>
      <c r="C121" s="164" t="n"/>
      <c r="D121" s="164" t="n"/>
      <c r="E121" s="164" t="n"/>
      <c r="F121" s="164" t="n"/>
      <c r="G121" s="164" t="n"/>
      <c r="H121" s="164" t="n"/>
      <c r="I121" s="166" t="n"/>
      <c r="J121" s="166" t="n"/>
      <c r="K121" s="166" t="n"/>
      <c r="L121" s="168" t="n"/>
      <c r="M121" s="167">
        <f>H121*I121+J121+K121</f>
        <v/>
      </c>
      <c r="N121" s="167">
        <f>M121*L121</f>
        <v/>
      </c>
      <c r="O121" s="167">
        <f>M121+N121</f>
        <v/>
      </c>
      <c r="P121" s="164" t="n"/>
    </row>
    <row r="122">
      <c r="A122" s="173" t="n"/>
      <c r="B122" s="164" t="n"/>
      <c r="C122" s="164" t="n"/>
      <c r="D122" s="164" t="n"/>
      <c r="E122" s="164" t="n"/>
      <c r="F122" s="164" t="n"/>
      <c r="G122" s="164" t="n"/>
      <c r="H122" s="164" t="n"/>
      <c r="I122" s="166" t="n"/>
      <c r="J122" s="166" t="n"/>
      <c r="K122" s="166" t="n"/>
      <c r="L122" s="168" t="n"/>
      <c r="M122" s="167">
        <f>H122*I122+J122+K122</f>
        <v/>
      </c>
      <c r="N122" s="167">
        <f>M122*L122</f>
        <v/>
      </c>
      <c r="O122" s="167">
        <f>M122+N122</f>
        <v/>
      </c>
      <c r="P122" s="164" t="n"/>
    </row>
    <row r="123">
      <c r="A123" s="173" t="n"/>
      <c r="B123" s="164" t="n"/>
      <c r="C123" s="164" t="n"/>
      <c r="D123" s="164" t="n"/>
      <c r="E123" s="164" t="n"/>
      <c r="F123" s="164" t="n"/>
      <c r="G123" s="164" t="n"/>
      <c r="H123" s="164" t="n"/>
      <c r="I123" s="166" t="n"/>
      <c r="J123" s="166" t="n"/>
      <c r="K123" s="166" t="n"/>
      <c r="L123" s="168" t="n"/>
      <c r="M123" s="167">
        <f>H123*I123+J123+K123</f>
        <v/>
      </c>
      <c r="N123" s="167">
        <f>M123*L123</f>
        <v/>
      </c>
      <c r="O123" s="167">
        <f>M123+N123</f>
        <v/>
      </c>
      <c r="P123" s="164" t="n"/>
    </row>
    <row r="124">
      <c r="A124" s="173" t="n"/>
      <c r="B124" s="164" t="n"/>
      <c r="C124" s="164" t="n"/>
      <c r="D124" s="164" t="n"/>
      <c r="E124" s="164" t="n"/>
      <c r="F124" s="164" t="n"/>
      <c r="G124" s="164" t="n"/>
      <c r="H124" s="164" t="n"/>
      <c r="I124" s="166" t="n"/>
      <c r="J124" s="166" t="n"/>
      <c r="K124" s="166" t="n"/>
      <c r="L124" s="168" t="n"/>
      <c r="M124" s="167">
        <f>H124*I124+J124+K124</f>
        <v/>
      </c>
      <c r="N124" s="167">
        <f>M124*L124</f>
        <v/>
      </c>
      <c r="O124" s="167">
        <f>M124+N124</f>
        <v/>
      </c>
      <c r="P124" s="164" t="n"/>
    </row>
    <row r="125">
      <c r="A125" s="173" t="n"/>
      <c r="B125" s="164" t="n"/>
      <c r="C125" s="164" t="n"/>
      <c r="D125" s="164" t="n"/>
      <c r="E125" s="164" t="n"/>
      <c r="F125" s="164" t="n"/>
      <c r="G125" s="164" t="n"/>
      <c r="H125" s="164" t="n"/>
      <c r="I125" s="166" t="n"/>
      <c r="J125" s="166" t="n"/>
      <c r="K125" s="166" t="n"/>
      <c r="L125" s="168" t="n"/>
      <c r="M125" s="167">
        <f>H125*I125+J125+K125</f>
        <v/>
      </c>
      <c r="N125" s="167">
        <f>M125*L125</f>
        <v/>
      </c>
      <c r="O125" s="167">
        <f>M125+N125</f>
        <v/>
      </c>
      <c r="P125" s="164" t="n"/>
    </row>
    <row r="126">
      <c r="A126" s="173" t="n"/>
      <c r="B126" s="164" t="n"/>
      <c r="C126" s="164" t="n"/>
      <c r="D126" s="164" t="n"/>
      <c r="E126" s="164" t="n"/>
      <c r="F126" s="164" t="n"/>
      <c r="G126" s="164" t="n"/>
      <c r="H126" s="164" t="n"/>
      <c r="I126" s="166" t="n"/>
      <c r="J126" s="166" t="n"/>
      <c r="K126" s="166" t="n"/>
      <c r="L126" s="168" t="n"/>
      <c r="M126" s="167">
        <f>H126*I126+J126+K126</f>
        <v/>
      </c>
      <c r="N126" s="167">
        <f>M126*L126</f>
        <v/>
      </c>
      <c r="O126" s="167">
        <f>M126+N126</f>
        <v/>
      </c>
      <c r="P126" s="164" t="n"/>
    </row>
    <row r="127">
      <c r="A127" s="173" t="n"/>
      <c r="B127" s="164" t="n"/>
      <c r="C127" s="164" t="n"/>
      <c r="D127" s="164" t="n"/>
      <c r="E127" s="164" t="n"/>
      <c r="F127" s="164" t="n"/>
      <c r="G127" s="164" t="n"/>
      <c r="H127" s="164" t="n"/>
      <c r="I127" s="166" t="n"/>
      <c r="J127" s="166" t="n"/>
      <c r="K127" s="166" t="n"/>
      <c r="L127" s="168" t="n"/>
      <c r="M127" s="167">
        <f>H127*I127+J127+K127</f>
        <v/>
      </c>
      <c r="N127" s="167">
        <f>M127*L127</f>
        <v/>
      </c>
      <c r="O127" s="167">
        <f>M127+N127</f>
        <v/>
      </c>
      <c r="P127" s="164" t="n"/>
    </row>
    <row r="128">
      <c r="A128" s="173" t="n"/>
      <c r="B128" s="164" t="n"/>
      <c r="C128" s="164" t="n"/>
      <c r="D128" s="164" t="n"/>
      <c r="E128" s="164" t="n"/>
      <c r="F128" s="164" t="n"/>
      <c r="G128" s="164" t="n"/>
      <c r="H128" s="164" t="n"/>
      <c r="I128" s="166" t="n"/>
      <c r="J128" s="166" t="n"/>
      <c r="K128" s="166" t="n"/>
      <c r="L128" s="168" t="n"/>
      <c r="M128" s="167">
        <f>H128*I128+J128+K128</f>
        <v/>
      </c>
      <c r="N128" s="167">
        <f>M128*L128</f>
        <v/>
      </c>
      <c r="O128" s="167">
        <f>M128+N128</f>
        <v/>
      </c>
      <c r="P128" s="164" t="n"/>
    </row>
    <row r="129">
      <c r="A129" s="173" t="n"/>
      <c r="B129" s="164" t="n"/>
      <c r="C129" s="164" t="n"/>
      <c r="D129" s="164" t="n"/>
      <c r="E129" s="164" t="n"/>
      <c r="F129" s="164" t="n"/>
      <c r="G129" s="164" t="n"/>
      <c r="H129" s="164" t="n"/>
      <c r="I129" s="166" t="n"/>
      <c r="J129" s="166" t="n"/>
      <c r="K129" s="166" t="n"/>
      <c r="L129" s="168" t="n"/>
      <c r="M129" s="167">
        <f>H129*I129+J129+K129</f>
        <v/>
      </c>
      <c r="N129" s="167">
        <f>M129*L129</f>
        <v/>
      </c>
      <c r="O129" s="167">
        <f>M129+N129</f>
        <v/>
      </c>
      <c r="P129" s="164" t="n"/>
    </row>
    <row r="130">
      <c r="A130" s="173" t="n"/>
      <c r="B130" s="164" t="n"/>
      <c r="C130" s="164" t="n"/>
      <c r="D130" s="164" t="n"/>
      <c r="E130" s="164" t="n"/>
      <c r="F130" s="164" t="n"/>
      <c r="G130" s="164" t="n"/>
      <c r="H130" s="164" t="n"/>
      <c r="I130" s="166" t="n"/>
      <c r="J130" s="166" t="n"/>
      <c r="K130" s="166" t="n"/>
      <c r="L130" s="168" t="n"/>
      <c r="M130" s="167">
        <f>H130*I130+J130+K130</f>
        <v/>
      </c>
      <c r="N130" s="167">
        <f>M130*L130</f>
        <v/>
      </c>
      <c r="O130" s="167">
        <f>M130+N130</f>
        <v/>
      </c>
      <c r="P130" s="164" t="n"/>
    </row>
    <row r="131">
      <c r="A131" s="173" t="n"/>
      <c r="B131" s="164" t="n"/>
      <c r="C131" s="164" t="n"/>
      <c r="D131" s="164" t="n"/>
      <c r="E131" s="164" t="n"/>
      <c r="F131" s="164" t="n"/>
      <c r="G131" s="164" t="n"/>
      <c r="H131" s="164" t="n"/>
      <c r="I131" s="166" t="n"/>
      <c r="J131" s="166" t="n"/>
      <c r="K131" s="166" t="n"/>
      <c r="L131" s="168" t="n"/>
      <c r="M131" s="167">
        <f>H131*I131+J131+K131</f>
        <v/>
      </c>
      <c r="N131" s="167">
        <f>M131*L131</f>
        <v/>
      </c>
      <c r="O131" s="167">
        <f>M131+N131</f>
        <v/>
      </c>
      <c r="P131" s="164" t="n"/>
    </row>
    <row r="132">
      <c r="A132" s="173" t="n"/>
      <c r="B132" s="164" t="n"/>
      <c r="C132" s="164" t="n"/>
      <c r="D132" s="164" t="n"/>
      <c r="E132" s="164" t="n"/>
      <c r="F132" s="164" t="n"/>
      <c r="G132" s="164" t="n"/>
      <c r="H132" s="164" t="n"/>
      <c r="I132" s="166" t="n"/>
      <c r="J132" s="166" t="n"/>
      <c r="K132" s="166" t="n"/>
      <c r="L132" s="168" t="n"/>
      <c r="M132" s="167">
        <f>H132*I132+J132+K132</f>
        <v/>
      </c>
      <c r="N132" s="167">
        <f>M132*L132</f>
        <v/>
      </c>
      <c r="O132" s="167">
        <f>M132+N132</f>
        <v/>
      </c>
      <c r="P132" s="164" t="n"/>
    </row>
    <row r="133">
      <c r="A133" s="173" t="n"/>
      <c r="B133" s="164" t="n"/>
      <c r="C133" s="164" t="n"/>
      <c r="D133" s="164" t="n"/>
      <c r="E133" s="164" t="n"/>
      <c r="F133" s="164" t="n"/>
      <c r="G133" s="164" t="n"/>
      <c r="H133" s="164" t="n"/>
      <c r="I133" s="166" t="n"/>
      <c r="J133" s="166" t="n"/>
      <c r="K133" s="166" t="n"/>
      <c r="L133" s="168" t="n"/>
      <c r="M133" s="167">
        <f>H133*I133+J133+K133</f>
        <v/>
      </c>
      <c r="N133" s="167">
        <f>M133*L133</f>
        <v/>
      </c>
      <c r="O133" s="167">
        <f>M133+N133</f>
        <v/>
      </c>
      <c r="P133" s="164" t="n"/>
    </row>
    <row r="134">
      <c r="A134" s="173" t="n"/>
      <c r="B134" s="164" t="n"/>
      <c r="C134" s="164" t="n"/>
      <c r="D134" s="164" t="n"/>
      <c r="E134" s="164" t="n"/>
      <c r="F134" s="164" t="n"/>
      <c r="G134" s="164" t="n"/>
      <c r="H134" s="164" t="n"/>
      <c r="I134" s="166" t="n"/>
      <c r="J134" s="166" t="n"/>
      <c r="K134" s="166" t="n"/>
      <c r="L134" s="168" t="n"/>
      <c r="M134" s="167">
        <f>H134*I134+J134+K134</f>
        <v/>
      </c>
      <c r="N134" s="167">
        <f>M134*L134</f>
        <v/>
      </c>
      <c r="O134" s="167">
        <f>M134+N134</f>
        <v/>
      </c>
      <c r="P134" s="164" t="n"/>
    </row>
    <row r="135">
      <c r="A135" s="173" t="n"/>
      <c r="B135" s="164" t="n"/>
      <c r="C135" s="164" t="n"/>
      <c r="D135" s="164" t="n"/>
      <c r="E135" s="164" t="n"/>
      <c r="F135" s="164" t="n"/>
      <c r="G135" s="164" t="n"/>
      <c r="H135" s="164" t="n"/>
      <c r="I135" s="166" t="n"/>
      <c r="J135" s="166" t="n"/>
      <c r="K135" s="166" t="n"/>
      <c r="L135" s="168" t="n"/>
      <c r="M135" s="167">
        <f>H135*I135+J135+K135</f>
        <v/>
      </c>
      <c r="N135" s="167">
        <f>M135*L135</f>
        <v/>
      </c>
      <c r="O135" s="167">
        <f>M135+N135</f>
        <v/>
      </c>
      <c r="P135" s="164" t="n"/>
    </row>
    <row r="136">
      <c r="A136" s="173" t="n"/>
      <c r="B136" s="164" t="n"/>
      <c r="C136" s="164" t="n"/>
      <c r="D136" s="164" t="n"/>
      <c r="E136" s="164" t="n"/>
      <c r="F136" s="164" t="n"/>
      <c r="G136" s="164" t="n"/>
      <c r="H136" s="164" t="n"/>
      <c r="I136" s="166" t="n"/>
      <c r="J136" s="166" t="n"/>
      <c r="K136" s="166" t="n"/>
      <c r="L136" s="168" t="n"/>
      <c r="M136" s="167">
        <f>H136*I136+J136+K136</f>
        <v/>
      </c>
      <c r="N136" s="167">
        <f>M136*L136</f>
        <v/>
      </c>
      <c r="O136" s="167">
        <f>M136+N136</f>
        <v/>
      </c>
      <c r="P136" s="164" t="n"/>
    </row>
    <row r="137">
      <c r="A137" s="173" t="n"/>
      <c r="B137" s="164" t="n"/>
      <c r="C137" s="164" t="n"/>
      <c r="D137" s="164" t="n"/>
      <c r="E137" s="164" t="n"/>
      <c r="F137" s="164" t="n"/>
      <c r="G137" s="164" t="n"/>
      <c r="H137" s="164" t="n"/>
      <c r="I137" s="166" t="n"/>
      <c r="J137" s="166" t="n"/>
      <c r="K137" s="166" t="n"/>
      <c r="L137" s="168" t="n"/>
      <c r="M137" s="167">
        <f>H137*I137+J137+K137</f>
        <v/>
      </c>
      <c r="N137" s="167">
        <f>M137*L137</f>
        <v/>
      </c>
      <c r="O137" s="167">
        <f>M137+N137</f>
        <v/>
      </c>
      <c r="P137" s="164" t="n"/>
    </row>
    <row r="138">
      <c r="A138" s="173" t="n"/>
      <c r="B138" s="164" t="n"/>
      <c r="C138" s="164" t="n"/>
      <c r="D138" s="164" t="n"/>
      <c r="E138" s="164" t="n"/>
      <c r="F138" s="164" t="n"/>
      <c r="G138" s="164" t="n"/>
      <c r="H138" s="164" t="n"/>
      <c r="I138" s="166" t="n"/>
      <c r="J138" s="166" t="n"/>
      <c r="K138" s="166" t="n"/>
      <c r="L138" s="168" t="n"/>
      <c r="M138" s="167">
        <f>H138*I138+J138+K138</f>
        <v/>
      </c>
      <c r="N138" s="167">
        <f>M138*L138</f>
        <v/>
      </c>
      <c r="O138" s="167">
        <f>M138+N138</f>
        <v/>
      </c>
      <c r="P138" s="164" t="n"/>
    </row>
    <row r="139">
      <c r="A139" s="173" t="n"/>
      <c r="B139" s="164" t="n"/>
      <c r="C139" s="164" t="n"/>
      <c r="D139" s="164" t="n"/>
      <c r="E139" s="164" t="n"/>
      <c r="F139" s="164" t="n"/>
      <c r="G139" s="164" t="n"/>
      <c r="H139" s="164" t="n"/>
      <c r="I139" s="166" t="n"/>
      <c r="J139" s="166" t="n"/>
      <c r="K139" s="166" t="n"/>
      <c r="L139" s="168" t="n"/>
      <c r="M139" s="167">
        <f>H139*I139+J139+K139</f>
        <v/>
      </c>
      <c r="N139" s="167">
        <f>M139*L139</f>
        <v/>
      </c>
      <c r="O139" s="167">
        <f>M139+N139</f>
        <v/>
      </c>
      <c r="P139" s="164" t="n"/>
    </row>
    <row r="140">
      <c r="A140" s="173" t="n"/>
      <c r="B140" s="164" t="n"/>
      <c r="C140" s="164" t="n"/>
      <c r="D140" s="164" t="n"/>
      <c r="E140" s="164" t="n"/>
      <c r="F140" s="164" t="n"/>
      <c r="G140" s="164" t="n"/>
      <c r="H140" s="164" t="n"/>
      <c r="I140" s="166" t="n"/>
      <c r="J140" s="166" t="n"/>
      <c r="K140" s="166" t="n"/>
      <c r="L140" s="168" t="n"/>
      <c r="M140" s="167">
        <f>H140*I140+J140+K140</f>
        <v/>
      </c>
      <c r="N140" s="167">
        <f>M140*L140</f>
        <v/>
      </c>
      <c r="O140" s="167">
        <f>M140+N140</f>
        <v/>
      </c>
      <c r="P140" s="164" t="n"/>
    </row>
    <row r="141">
      <c r="A141" s="173" t="n"/>
      <c r="B141" s="164" t="n"/>
      <c r="C141" s="164" t="n"/>
      <c r="D141" s="164" t="n"/>
      <c r="E141" s="164" t="n"/>
      <c r="F141" s="164" t="n"/>
      <c r="G141" s="164" t="n"/>
      <c r="H141" s="164" t="n"/>
      <c r="I141" s="166" t="n"/>
      <c r="J141" s="166" t="n"/>
      <c r="K141" s="166" t="n"/>
      <c r="L141" s="168" t="n"/>
      <c r="M141" s="167">
        <f>H141*I141+J141+K141</f>
        <v/>
      </c>
      <c r="N141" s="167">
        <f>M141*L141</f>
        <v/>
      </c>
      <c r="O141" s="167">
        <f>M141+N141</f>
        <v/>
      </c>
      <c r="P141" s="164" t="n"/>
    </row>
    <row r="142">
      <c r="A142" s="173" t="n"/>
      <c r="B142" s="164" t="n"/>
      <c r="C142" s="164" t="n"/>
      <c r="D142" s="164" t="n"/>
      <c r="E142" s="164" t="n"/>
      <c r="F142" s="164" t="n"/>
      <c r="G142" s="164" t="n"/>
      <c r="H142" s="164" t="n"/>
      <c r="I142" s="166" t="n"/>
      <c r="J142" s="166" t="n"/>
      <c r="K142" s="166" t="n"/>
      <c r="L142" s="168" t="n"/>
      <c r="M142" s="167">
        <f>H142*I142+J142+K142</f>
        <v/>
      </c>
      <c r="N142" s="167">
        <f>M142*L142</f>
        <v/>
      </c>
      <c r="O142" s="167">
        <f>M142+N142</f>
        <v/>
      </c>
      <c r="P142" s="164" t="n"/>
    </row>
    <row r="143">
      <c r="A143" s="173" t="n"/>
      <c r="B143" s="164" t="n"/>
      <c r="C143" s="164" t="n"/>
      <c r="D143" s="164" t="n"/>
      <c r="E143" s="164" t="n"/>
      <c r="F143" s="164" t="n"/>
      <c r="G143" s="164" t="n"/>
      <c r="H143" s="164" t="n"/>
      <c r="I143" s="166" t="n"/>
      <c r="J143" s="166" t="n"/>
      <c r="K143" s="166" t="n"/>
      <c r="L143" s="168" t="n"/>
      <c r="M143" s="167">
        <f>H143*I143+J143+K143</f>
        <v/>
      </c>
      <c r="N143" s="167">
        <f>M143*L143</f>
        <v/>
      </c>
      <c r="O143" s="167">
        <f>M143+N143</f>
        <v/>
      </c>
      <c r="P143" s="164" t="n"/>
    </row>
    <row r="144">
      <c r="A144" s="173" t="n"/>
      <c r="B144" s="164" t="n"/>
      <c r="C144" s="164" t="n"/>
      <c r="D144" s="164" t="n"/>
      <c r="E144" s="164" t="n"/>
      <c r="F144" s="164" t="n"/>
      <c r="G144" s="164" t="n"/>
      <c r="H144" s="164" t="n"/>
      <c r="I144" s="166" t="n"/>
      <c r="J144" s="166" t="n"/>
      <c r="K144" s="166" t="n"/>
      <c r="L144" s="168" t="n"/>
      <c r="M144" s="167">
        <f>H144*I144+J144+K144</f>
        <v/>
      </c>
      <c r="N144" s="167">
        <f>M144*L144</f>
        <v/>
      </c>
      <c r="O144" s="167">
        <f>M144+N144</f>
        <v/>
      </c>
      <c r="P144" s="164" t="n"/>
    </row>
    <row r="145">
      <c r="A145" s="173" t="n"/>
      <c r="B145" s="164" t="n"/>
      <c r="C145" s="164" t="n"/>
      <c r="D145" s="164" t="n"/>
      <c r="E145" s="164" t="n"/>
      <c r="F145" s="164" t="n"/>
      <c r="G145" s="164" t="n"/>
      <c r="H145" s="164" t="n"/>
      <c r="I145" s="166" t="n"/>
      <c r="J145" s="166" t="n"/>
      <c r="K145" s="166" t="n"/>
      <c r="L145" s="168" t="n"/>
      <c r="M145" s="167">
        <f>H145*I145+J145+K145</f>
        <v/>
      </c>
      <c r="N145" s="167">
        <f>M145*L145</f>
        <v/>
      </c>
      <c r="O145" s="167">
        <f>M145+N145</f>
        <v/>
      </c>
      <c r="P145" s="164" t="n"/>
    </row>
    <row r="146">
      <c r="A146" s="173" t="n"/>
      <c r="B146" s="164" t="n"/>
      <c r="C146" s="164" t="n"/>
      <c r="D146" s="164" t="n"/>
      <c r="E146" s="164" t="n"/>
      <c r="F146" s="164" t="n"/>
      <c r="G146" s="164" t="n"/>
      <c r="H146" s="164" t="n"/>
      <c r="I146" s="166" t="n"/>
      <c r="J146" s="166" t="n"/>
      <c r="K146" s="166" t="n"/>
      <c r="L146" s="168" t="n"/>
      <c r="M146" s="167">
        <f>H146*I146+J146+K146</f>
        <v/>
      </c>
      <c r="N146" s="167">
        <f>M146*L146</f>
        <v/>
      </c>
      <c r="O146" s="167">
        <f>M146+N146</f>
        <v/>
      </c>
      <c r="P146" s="164" t="n"/>
    </row>
    <row r="147">
      <c r="A147" s="173" t="n"/>
      <c r="B147" s="164" t="n"/>
      <c r="C147" s="164" t="n"/>
      <c r="D147" s="164" t="n"/>
      <c r="E147" s="164" t="n"/>
      <c r="F147" s="164" t="n"/>
      <c r="G147" s="164" t="n"/>
      <c r="H147" s="164" t="n"/>
      <c r="I147" s="166" t="n"/>
      <c r="J147" s="166" t="n"/>
      <c r="K147" s="166" t="n"/>
      <c r="L147" s="168" t="n"/>
      <c r="M147" s="167">
        <f>H147*I147+J147+K147</f>
        <v/>
      </c>
      <c r="N147" s="167">
        <f>M147*L147</f>
        <v/>
      </c>
      <c r="O147" s="167">
        <f>M147+N147</f>
        <v/>
      </c>
      <c r="P147" s="164" t="n"/>
    </row>
    <row r="148">
      <c r="A148" s="173" t="n"/>
      <c r="B148" s="164" t="n"/>
      <c r="C148" s="164" t="n"/>
      <c r="D148" s="164" t="n"/>
      <c r="E148" s="164" t="n"/>
      <c r="F148" s="164" t="n"/>
      <c r="G148" s="164" t="n"/>
      <c r="H148" s="164" t="n"/>
      <c r="I148" s="166" t="n"/>
      <c r="J148" s="166" t="n"/>
      <c r="K148" s="166" t="n"/>
      <c r="L148" s="168" t="n"/>
      <c r="M148" s="167">
        <f>H148*I148+J148+K148</f>
        <v/>
      </c>
      <c r="N148" s="167">
        <f>M148*L148</f>
        <v/>
      </c>
      <c r="O148" s="167">
        <f>M148+N148</f>
        <v/>
      </c>
      <c r="P148" s="164" t="n"/>
    </row>
    <row r="149">
      <c r="A149" s="173" t="n"/>
      <c r="B149" s="164" t="n"/>
      <c r="C149" s="164" t="n"/>
      <c r="D149" s="164" t="n"/>
      <c r="E149" s="164" t="n"/>
      <c r="F149" s="164" t="n"/>
      <c r="G149" s="164" t="n"/>
      <c r="H149" s="164" t="n"/>
      <c r="I149" s="166" t="n"/>
      <c r="J149" s="166" t="n"/>
      <c r="K149" s="166" t="n"/>
      <c r="L149" s="168" t="n"/>
      <c r="M149" s="167">
        <f>H149*I149+J149+K149</f>
        <v/>
      </c>
      <c r="N149" s="167">
        <f>M149*L149</f>
        <v/>
      </c>
      <c r="O149" s="167">
        <f>M149+N149</f>
        <v/>
      </c>
      <c r="P149" s="164" t="n"/>
    </row>
    <row r="150">
      <c r="A150" s="173" t="n"/>
      <c r="B150" s="164" t="n"/>
      <c r="C150" s="164" t="n"/>
      <c r="D150" s="164" t="n"/>
      <c r="E150" s="164" t="n"/>
      <c r="F150" s="164" t="n"/>
      <c r="G150" s="164" t="n"/>
      <c r="H150" s="164" t="n"/>
      <c r="I150" s="166" t="n"/>
      <c r="J150" s="166" t="n"/>
      <c r="K150" s="166" t="n"/>
      <c r="L150" s="168" t="n"/>
      <c r="M150" s="167">
        <f>H150*I150+J150+K150</f>
        <v/>
      </c>
      <c r="N150" s="167">
        <f>M150*L150</f>
        <v/>
      </c>
      <c r="O150" s="167">
        <f>M150+N150</f>
        <v/>
      </c>
      <c r="P150" s="164" t="n"/>
    </row>
    <row r="151">
      <c r="A151" s="173" t="n"/>
      <c r="B151" s="164" t="n"/>
      <c r="C151" s="164" t="n"/>
      <c r="D151" s="164" t="n"/>
      <c r="E151" s="164" t="n"/>
      <c r="F151" s="164" t="n"/>
      <c r="G151" s="164" t="n"/>
      <c r="H151" s="164" t="n"/>
      <c r="I151" s="166" t="n"/>
      <c r="J151" s="166" t="n"/>
      <c r="K151" s="166" t="n"/>
      <c r="L151" s="168" t="n"/>
      <c r="M151" s="167">
        <f>H151*I151+J151+K151</f>
        <v/>
      </c>
      <c r="N151" s="167">
        <f>M151*L151</f>
        <v/>
      </c>
      <c r="O151" s="167">
        <f>M151+N151</f>
        <v/>
      </c>
      <c r="P151" s="164" t="n"/>
    </row>
    <row r="152">
      <c r="A152" s="173" t="n"/>
      <c r="B152" s="164" t="n"/>
      <c r="C152" s="164" t="n"/>
      <c r="D152" s="164" t="n"/>
      <c r="E152" s="164" t="n"/>
      <c r="F152" s="164" t="n"/>
      <c r="G152" s="164" t="n"/>
      <c r="H152" s="164" t="n"/>
      <c r="I152" s="166" t="n"/>
      <c r="J152" s="166" t="n"/>
      <c r="K152" s="166" t="n"/>
      <c r="L152" s="168" t="n"/>
      <c r="M152" s="167">
        <f>H152*I152+J152+K152</f>
        <v/>
      </c>
      <c r="N152" s="167">
        <f>M152*L152</f>
        <v/>
      </c>
      <c r="O152" s="167">
        <f>M152+N152</f>
        <v/>
      </c>
      <c r="P152" s="164" t="n"/>
    </row>
    <row r="153">
      <c r="A153" s="173" t="n"/>
      <c r="B153" s="164" t="n"/>
      <c r="C153" s="164" t="n"/>
      <c r="D153" s="164" t="n"/>
      <c r="E153" s="164" t="n"/>
      <c r="F153" s="164" t="n"/>
      <c r="G153" s="164" t="n"/>
      <c r="H153" s="164" t="n"/>
      <c r="I153" s="166" t="n"/>
      <c r="J153" s="166" t="n"/>
      <c r="K153" s="166" t="n"/>
      <c r="L153" s="168" t="n"/>
      <c r="M153" s="167">
        <f>H153*I153+J153+K153</f>
        <v/>
      </c>
      <c r="N153" s="167">
        <f>M153*L153</f>
        <v/>
      </c>
      <c r="O153" s="167">
        <f>M153+N153</f>
        <v/>
      </c>
      <c r="P153" s="164" t="n"/>
    </row>
    <row r="154">
      <c r="A154" s="173" t="n"/>
      <c r="B154" s="164" t="n"/>
      <c r="C154" s="164" t="n"/>
      <c r="D154" s="164" t="n"/>
      <c r="E154" s="164" t="n"/>
      <c r="F154" s="164" t="n"/>
      <c r="G154" s="164" t="n"/>
      <c r="H154" s="164" t="n"/>
      <c r="I154" s="166" t="n"/>
      <c r="J154" s="166" t="n"/>
      <c r="K154" s="166" t="n"/>
      <c r="L154" s="168" t="n"/>
      <c r="M154" s="167">
        <f>H154*I154+J154+K154</f>
        <v/>
      </c>
      <c r="N154" s="167">
        <f>M154*L154</f>
        <v/>
      </c>
      <c r="O154" s="167">
        <f>M154+N154</f>
        <v/>
      </c>
      <c r="P154" s="164" t="n"/>
    </row>
    <row r="155">
      <c r="A155" s="173" t="n"/>
      <c r="B155" s="164" t="n"/>
      <c r="C155" s="164" t="n"/>
      <c r="D155" s="164" t="n"/>
      <c r="E155" s="164" t="n"/>
      <c r="F155" s="164" t="n"/>
      <c r="G155" s="164" t="n"/>
      <c r="H155" s="164" t="n"/>
      <c r="I155" s="166" t="n"/>
      <c r="J155" s="166" t="n"/>
      <c r="K155" s="166" t="n"/>
      <c r="L155" s="168" t="n"/>
      <c r="M155" s="167">
        <f>H155*I155+J155+K155</f>
        <v/>
      </c>
      <c r="N155" s="167">
        <f>M155*L155</f>
        <v/>
      </c>
      <c r="O155" s="167">
        <f>M155+N155</f>
        <v/>
      </c>
      <c r="P155" s="164" t="n"/>
    </row>
    <row r="156">
      <c r="A156" s="173" t="n"/>
      <c r="B156" s="164" t="n"/>
      <c r="C156" s="164" t="n"/>
      <c r="D156" s="164" t="n"/>
      <c r="E156" s="164" t="n"/>
      <c r="F156" s="164" t="n"/>
      <c r="G156" s="164" t="n"/>
      <c r="H156" s="164" t="n"/>
      <c r="I156" s="166" t="n"/>
      <c r="J156" s="166" t="n"/>
      <c r="K156" s="166" t="n"/>
      <c r="L156" s="168" t="n"/>
      <c r="M156" s="167">
        <f>H156*I156+J156+K156</f>
        <v/>
      </c>
      <c r="N156" s="167">
        <f>M156*L156</f>
        <v/>
      </c>
      <c r="O156" s="167">
        <f>M156+N156</f>
        <v/>
      </c>
      <c r="P156" s="164" t="n"/>
    </row>
    <row r="157">
      <c r="A157" s="173" t="n"/>
      <c r="B157" s="164" t="n"/>
      <c r="C157" s="164" t="n"/>
      <c r="D157" s="164" t="n"/>
      <c r="E157" s="164" t="n"/>
      <c r="F157" s="164" t="n"/>
      <c r="G157" s="164" t="n"/>
      <c r="H157" s="164" t="n"/>
      <c r="I157" s="166" t="n"/>
      <c r="J157" s="166" t="n"/>
      <c r="K157" s="166" t="n"/>
      <c r="L157" s="168" t="n"/>
      <c r="M157" s="167">
        <f>H157*I157+J157+K157</f>
        <v/>
      </c>
      <c r="N157" s="167">
        <f>M157*L157</f>
        <v/>
      </c>
      <c r="O157" s="167">
        <f>M157+N157</f>
        <v/>
      </c>
      <c r="P157" s="164" t="n"/>
    </row>
    <row r="158">
      <c r="A158" s="173" t="n"/>
      <c r="B158" s="164" t="n"/>
      <c r="C158" s="164" t="n"/>
      <c r="D158" s="164" t="n"/>
      <c r="E158" s="164" t="n"/>
      <c r="F158" s="164" t="n"/>
      <c r="G158" s="164" t="n"/>
      <c r="H158" s="164" t="n"/>
      <c r="I158" s="166" t="n"/>
      <c r="J158" s="166" t="n"/>
      <c r="K158" s="166" t="n"/>
      <c r="L158" s="168" t="n"/>
      <c r="M158" s="167">
        <f>H158*I158+J158+K158</f>
        <v/>
      </c>
      <c r="N158" s="167">
        <f>M158*L158</f>
        <v/>
      </c>
      <c r="O158" s="167">
        <f>M158+N158</f>
        <v/>
      </c>
      <c r="P158" s="164" t="n"/>
    </row>
    <row r="159">
      <c r="A159" s="173" t="n"/>
      <c r="B159" s="164" t="n"/>
      <c r="C159" s="164" t="n"/>
      <c r="D159" s="164" t="n"/>
      <c r="E159" s="164" t="n"/>
      <c r="F159" s="164" t="n"/>
      <c r="G159" s="164" t="n"/>
      <c r="H159" s="164" t="n"/>
      <c r="I159" s="166" t="n"/>
      <c r="J159" s="166" t="n"/>
      <c r="K159" s="166" t="n"/>
      <c r="L159" s="168" t="n"/>
      <c r="M159" s="167">
        <f>H159*I159+J159+K159</f>
        <v/>
      </c>
      <c r="N159" s="167">
        <f>M159*L159</f>
        <v/>
      </c>
      <c r="O159" s="167">
        <f>M159+N159</f>
        <v/>
      </c>
      <c r="P159" s="164" t="n"/>
    </row>
    <row r="160">
      <c r="A160" s="173" t="n"/>
      <c r="B160" s="164" t="n"/>
      <c r="C160" s="164" t="n"/>
      <c r="D160" s="164" t="n"/>
      <c r="E160" s="164" t="n"/>
      <c r="F160" s="164" t="n"/>
      <c r="G160" s="164" t="n"/>
      <c r="H160" s="164" t="n"/>
      <c r="I160" s="166" t="n"/>
      <c r="J160" s="166" t="n"/>
      <c r="K160" s="166" t="n"/>
      <c r="L160" s="168" t="n"/>
      <c r="M160" s="167">
        <f>H160*I160+J160+K160</f>
        <v/>
      </c>
      <c r="N160" s="167">
        <f>M160*L160</f>
        <v/>
      </c>
      <c r="O160" s="167">
        <f>M160+N160</f>
        <v/>
      </c>
      <c r="P160" s="164" t="n"/>
    </row>
    <row r="161">
      <c r="A161" s="173" t="n"/>
      <c r="B161" s="164" t="n"/>
      <c r="C161" s="164" t="n"/>
      <c r="D161" s="164" t="n"/>
      <c r="E161" s="164" t="n"/>
      <c r="F161" s="164" t="n"/>
      <c r="G161" s="164" t="n"/>
      <c r="H161" s="164" t="n"/>
      <c r="I161" s="166" t="n"/>
      <c r="J161" s="166" t="n"/>
      <c r="K161" s="166" t="n"/>
      <c r="L161" s="168" t="n"/>
      <c r="M161" s="167">
        <f>H161*I161+J161+K161</f>
        <v/>
      </c>
      <c r="N161" s="167">
        <f>M161*L161</f>
        <v/>
      </c>
      <c r="O161" s="167">
        <f>M161+N161</f>
        <v/>
      </c>
      <c r="P161" s="164" t="n"/>
    </row>
    <row r="162">
      <c r="A162" s="173" t="n"/>
      <c r="B162" s="164" t="n"/>
      <c r="C162" s="164" t="n"/>
      <c r="D162" s="164" t="n"/>
      <c r="E162" s="164" t="n"/>
      <c r="F162" s="164" t="n"/>
      <c r="G162" s="164" t="n"/>
      <c r="H162" s="164" t="n"/>
      <c r="I162" s="166" t="n"/>
      <c r="J162" s="166" t="n"/>
      <c r="K162" s="166" t="n"/>
      <c r="L162" s="168" t="n"/>
      <c r="M162" s="167">
        <f>H162*I162+J162+K162</f>
        <v/>
      </c>
      <c r="N162" s="167">
        <f>M162*L162</f>
        <v/>
      </c>
      <c r="O162" s="167">
        <f>M162+N162</f>
        <v/>
      </c>
      <c r="P162" s="164" t="n"/>
    </row>
    <row r="163">
      <c r="A163" s="173" t="n"/>
      <c r="B163" s="164" t="n"/>
      <c r="C163" s="164" t="n"/>
      <c r="D163" s="164" t="n"/>
      <c r="E163" s="164" t="n"/>
      <c r="F163" s="164" t="n"/>
      <c r="G163" s="164" t="n"/>
      <c r="H163" s="164" t="n"/>
      <c r="I163" s="166" t="n"/>
      <c r="J163" s="166" t="n"/>
      <c r="K163" s="166" t="n"/>
      <c r="L163" s="168" t="n"/>
      <c r="M163" s="167">
        <f>H163*I163+J163+K163</f>
        <v/>
      </c>
      <c r="N163" s="167">
        <f>M163*L163</f>
        <v/>
      </c>
      <c r="O163" s="167">
        <f>M163+N163</f>
        <v/>
      </c>
      <c r="P163" s="164" t="n"/>
    </row>
    <row r="164">
      <c r="A164" s="173" t="n"/>
      <c r="B164" s="164" t="n"/>
      <c r="C164" s="164" t="n"/>
      <c r="D164" s="164" t="n"/>
      <c r="E164" s="164" t="n"/>
      <c r="F164" s="164" t="n"/>
      <c r="G164" s="164" t="n"/>
      <c r="H164" s="164" t="n"/>
      <c r="I164" s="166" t="n"/>
      <c r="J164" s="166" t="n"/>
      <c r="K164" s="166" t="n"/>
      <c r="L164" s="168" t="n"/>
      <c r="M164" s="167">
        <f>H164*I164+J164+K164</f>
        <v/>
      </c>
      <c r="N164" s="167">
        <f>M164*L164</f>
        <v/>
      </c>
      <c r="O164" s="167">
        <f>M164+N164</f>
        <v/>
      </c>
      <c r="P164" s="164" t="n"/>
    </row>
    <row r="165">
      <c r="A165" s="173" t="n"/>
      <c r="B165" s="164" t="n"/>
      <c r="C165" s="164" t="n"/>
      <c r="D165" s="164" t="n"/>
      <c r="E165" s="164" t="n"/>
      <c r="F165" s="164" t="n"/>
      <c r="G165" s="164" t="n"/>
      <c r="H165" s="164" t="n"/>
      <c r="I165" s="166" t="n"/>
      <c r="J165" s="166" t="n"/>
      <c r="K165" s="166" t="n"/>
      <c r="L165" s="168" t="n"/>
      <c r="M165" s="167">
        <f>H165*I165+J165+K165</f>
        <v/>
      </c>
      <c r="N165" s="167">
        <f>M165*L165</f>
        <v/>
      </c>
      <c r="O165" s="167">
        <f>M165+N165</f>
        <v/>
      </c>
      <c r="P165" s="164" t="n"/>
    </row>
    <row r="166">
      <c r="A166" s="173" t="n"/>
      <c r="B166" s="164" t="n"/>
      <c r="C166" s="164" t="n"/>
      <c r="D166" s="164" t="n"/>
      <c r="E166" s="164" t="n"/>
      <c r="F166" s="164" t="n"/>
      <c r="G166" s="164" t="n"/>
      <c r="H166" s="164" t="n"/>
      <c r="I166" s="166" t="n"/>
      <c r="J166" s="166" t="n"/>
      <c r="K166" s="166" t="n"/>
      <c r="L166" s="168" t="n"/>
      <c r="M166" s="167">
        <f>H166*I166+J166+K166</f>
        <v/>
      </c>
      <c r="N166" s="167">
        <f>M166*L166</f>
        <v/>
      </c>
      <c r="O166" s="167">
        <f>M166+N166</f>
        <v/>
      </c>
      <c r="P166" s="164" t="n"/>
    </row>
    <row r="167">
      <c r="A167" s="173" t="n"/>
      <c r="B167" s="164" t="n"/>
      <c r="C167" s="164" t="n"/>
      <c r="D167" s="164" t="n"/>
      <c r="E167" s="164" t="n"/>
      <c r="F167" s="164" t="n"/>
      <c r="G167" s="164" t="n"/>
      <c r="H167" s="164" t="n"/>
      <c r="I167" s="166" t="n"/>
      <c r="J167" s="166" t="n"/>
      <c r="K167" s="166" t="n"/>
      <c r="L167" s="168" t="n"/>
      <c r="M167" s="167">
        <f>H167*I167+J167+K167</f>
        <v/>
      </c>
      <c r="N167" s="167">
        <f>M167*L167</f>
        <v/>
      </c>
      <c r="O167" s="167">
        <f>M167+N167</f>
        <v/>
      </c>
      <c r="P167" s="164" t="n"/>
    </row>
    <row r="168">
      <c r="A168" s="173" t="n"/>
      <c r="B168" s="164" t="n"/>
      <c r="C168" s="164" t="n"/>
      <c r="D168" s="164" t="n"/>
      <c r="E168" s="164" t="n"/>
      <c r="F168" s="164" t="n"/>
      <c r="G168" s="164" t="n"/>
      <c r="H168" s="164" t="n"/>
      <c r="I168" s="166" t="n"/>
      <c r="J168" s="166" t="n"/>
      <c r="K168" s="166" t="n"/>
      <c r="L168" s="168" t="n"/>
      <c r="M168" s="167">
        <f>H168*I168+J168+K168</f>
        <v/>
      </c>
      <c r="N168" s="167">
        <f>M168*L168</f>
        <v/>
      </c>
      <c r="O168" s="167">
        <f>M168+N168</f>
        <v/>
      </c>
      <c r="P168" s="164" t="n"/>
    </row>
    <row r="169">
      <c r="A169" s="173" t="n"/>
      <c r="B169" s="164" t="n"/>
      <c r="C169" s="164" t="n"/>
      <c r="D169" s="164" t="n"/>
      <c r="E169" s="164" t="n"/>
      <c r="F169" s="164" t="n"/>
      <c r="G169" s="164" t="n"/>
      <c r="H169" s="164" t="n"/>
      <c r="I169" s="166" t="n"/>
      <c r="J169" s="166" t="n"/>
      <c r="K169" s="166" t="n"/>
      <c r="L169" s="168" t="n"/>
      <c r="M169" s="167">
        <f>H169*I169+J169+K169</f>
        <v/>
      </c>
      <c r="N169" s="167">
        <f>M169*L169</f>
        <v/>
      </c>
      <c r="O169" s="167">
        <f>M169+N169</f>
        <v/>
      </c>
      <c r="P169" s="164" t="n"/>
    </row>
    <row r="170">
      <c r="A170" s="173" t="n"/>
      <c r="B170" s="164" t="n"/>
      <c r="C170" s="164" t="n"/>
      <c r="D170" s="164" t="n"/>
      <c r="E170" s="164" t="n"/>
      <c r="F170" s="164" t="n"/>
      <c r="G170" s="164" t="n"/>
      <c r="H170" s="164" t="n"/>
      <c r="I170" s="166" t="n"/>
      <c r="J170" s="166" t="n"/>
      <c r="K170" s="166" t="n"/>
      <c r="L170" s="168" t="n"/>
      <c r="M170" s="167">
        <f>H170*I170+J170+K170</f>
        <v/>
      </c>
      <c r="N170" s="167">
        <f>M170*L170</f>
        <v/>
      </c>
      <c r="O170" s="167">
        <f>M170+N170</f>
        <v/>
      </c>
      <c r="P170" s="164" t="n"/>
    </row>
    <row r="171">
      <c r="A171" s="173" t="n"/>
      <c r="B171" s="164" t="n"/>
      <c r="C171" s="164" t="n"/>
      <c r="D171" s="164" t="n"/>
      <c r="E171" s="164" t="n"/>
      <c r="F171" s="164" t="n"/>
      <c r="G171" s="164" t="n"/>
      <c r="H171" s="164" t="n"/>
      <c r="I171" s="166" t="n"/>
      <c r="J171" s="166" t="n"/>
      <c r="K171" s="166" t="n"/>
      <c r="L171" s="168" t="n"/>
      <c r="M171" s="167">
        <f>H171*I171+J171+K171</f>
        <v/>
      </c>
      <c r="N171" s="167">
        <f>M171*L171</f>
        <v/>
      </c>
      <c r="O171" s="167">
        <f>M171+N171</f>
        <v/>
      </c>
      <c r="P171" s="164" t="n"/>
    </row>
    <row r="172">
      <c r="A172" s="173" t="n"/>
      <c r="B172" s="164" t="n"/>
      <c r="C172" s="164" t="n"/>
      <c r="D172" s="164" t="n"/>
      <c r="E172" s="164" t="n"/>
      <c r="F172" s="164" t="n"/>
      <c r="G172" s="164" t="n"/>
      <c r="H172" s="164" t="n"/>
      <c r="I172" s="166" t="n"/>
      <c r="J172" s="166" t="n"/>
      <c r="K172" s="166" t="n"/>
      <c r="L172" s="168" t="n"/>
      <c r="M172" s="167">
        <f>H172*I172+J172+K172</f>
        <v/>
      </c>
      <c r="N172" s="167">
        <f>M172*L172</f>
        <v/>
      </c>
      <c r="O172" s="167">
        <f>M172+N172</f>
        <v/>
      </c>
      <c r="P172" s="164" t="n"/>
    </row>
    <row r="173">
      <c r="A173" s="173" t="n"/>
      <c r="B173" s="164" t="n"/>
      <c r="C173" s="164" t="n"/>
      <c r="D173" s="164" t="n"/>
      <c r="E173" s="164" t="n"/>
      <c r="F173" s="164" t="n"/>
      <c r="G173" s="164" t="n"/>
      <c r="H173" s="164" t="n"/>
      <c r="I173" s="166" t="n"/>
      <c r="J173" s="166" t="n"/>
      <c r="K173" s="166" t="n"/>
      <c r="L173" s="168" t="n"/>
      <c r="M173" s="167">
        <f>H173*I173+J173+K173</f>
        <v/>
      </c>
      <c r="N173" s="167">
        <f>M173*L173</f>
        <v/>
      </c>
      <c r="O173" s="167">
        <f>M173+N173</f>
        <v/>
      </c>
      <c r="P173" s="164" t="n"/>
    </row>
    <row r="174">
      <c r="A174" s="173" t="n"/>
      <c r="B174" s="164" t="n"/>
      <c r="C174" s="164" t="n"/>
      <c r="D174" s="164" t="n"/>
      <c r="E174" s="164" t="n"/>
      <c r="F174" s="164" t="n"/>
      <c r="G174" s="164" t="n"/>
      <c r="H174" s="164" t="n"/>
      <c r="I174" s="166" t="n"/>
      <c r="J174" s="166" t="n"/>
      <c r="K174" s="166" t="n"/>
      <c r="L174" s="168" t="n"/>
      <c r="M174" s="167">
        <f>H174*I174+J174+K174</f>
        <v/>
      </c>
      <c r="N174" s="167">
        <f>M174*L174</f>
        <v/>
      </c>
      <c r="O174" s="167">
        <f>M174+N174</f>
        <v/>
      </c>
      <c r="P174" s="164" t="n"/>
    </row>
    <row r="175">
      <c r="A175" s="173" t="n"/>
      <c r="B175" s="164" t="n"/>
      <c r="C175" s="164" t="n"/>
      <c r="D175" s="164" t="n"/>
      <c r="E175" s="164" t="n"/>
      <c r="F175" s="164" t="n"/>
      <c r="G175" s="164" t="n"/>
      <c r="H175" s="164" t="n"/>
      <c r="I175" s="166" t="n"/>
      <c r="J175" s="166" t="n"/>
      <c r="K175" s="166" t="n"/>
      <c r="L175" s="168" t="n"/>
      <c r="M175" s="167">
        <f>H175*I175+J175+K175</f>
        <v/>
      </c>
      <c r="N175" s="167">
        <f>M175*L175</f>
        <v/>
      </c>
      <c r="O175" s="167">
        <f>M175+N175</f>
        <v/>
      </c>
      <c r="P175" s="164" t="n"/>
    </row>
    <row r="176">
      <c r="A176" s="173" t="n"/>
      <c r="B176" s="164" t="n"/>
      <c r="C176" s="164" t="n"/>
      <c r="D176" s="164" t="n"/>
      <c r="E176" s="164" t="n"/>
      <c r="F176" s="164" t="n"/>
      <c r="G176" s="164" t="n"/>
      <c r="H176" s="164" t="n"/>
      <c r="I176" s="166" t="n"/>
      <c r="J176" s="166" t="n"/>
      <c r="K176" s="166" t="n"/>
      <c r="L176" s="168" t="n"/>
      <c r="M176" s="167">
        <f>H176*I176+J176+K176</f>
        <v/>
      </c>
      <c r="N176" s="167">
        <f>M176*L176</f>
        <v/>
      </c>
      <c r="O176" s="167">
        <f>M176+N176</f>
        <v/>
      </c>
      <c r="P176" s="164" t="n"/>
    </row>
    <row r="177">
      <c r="A177" s="173" t="n"/>
      <c r="B177" s="164" t="n"/>
      <c r="C177" s="164" t="n"/>
      <c r="D177" s="164" t="n"/>
      <c r="E177" s="164" t="n"/>
      <c r="F177" s="164" t="n"/>
      <c r="G177" s="164" t="n"/>
      <c r="H177" s="164" t="n"/>
      <c r="I177" s="166" t="n"/>
      <c r="J177" s="166" t="n"/>
      <c r="K177" s="166" t="n"/>
      <c r="L177" s="168" t="n"/>
      <c r="M177" s="167">
        <f>H177*I177+J177+K177</f>
        <v/>
      </c>
      <c r="N177" s="167">
        <f>M177*L177</f>
        <v/>
      </c>
      <c r="O177" s="167">
        <f>M177+N177</f>
        <v/>
      </c>
      <c r="P177" s="164" t="n"/>
    </row>
    <row r="178">
      <c r="A178" s="173" t="n"/>
      <c r="B178" s="164" t="n"/>
      <c r="C178" s="164" t="n"/>
      <c r="D178" s="164" t="n"/>
      <c r="E178" s="164" t="n"/>
      <c r="F178" s="164" t="n"/>
      <c r="G178" s="164" t="n"/>
      <c r="H178" s="164" t="n"/>
      <c r="I178" s="166" t="n"/>
      <c r="J178" s="166" t="n"/>
      <c r="K178" s="166" t="n"/>
      <c r="L178" s="168" t="n"/>
      <c r="M178" s="167">
        <f>H178*I178+J178+K178</f>
        <v/>
      </c>
      <c r="N178" s="167">
        <f>M178*L178</f>
        <v/>
      </c>
      <c r="O178" s="167">
        <f>M178+N178</f>
        <v/>
      </c>
      <c r="P178" s="164" t="n"/>
    </row>
    <row r="179">
      <c r="A179" s="173" t="n"/>
      <c r="B179" s="164" t="n"/>
      <c r="C179" s="164" t="n"/>
      <c r="D179" s="164" t="n"/>
      <c r="E179" s="164" t="n"/>
      <c r="F179" s="164" t="n"/>
      <c r="G179" s="164" t="n"/>
      <c r="H179" s="164" t="n"/>
      <c r="I179" s="166" t="n"/>
      <c r="J179" s="166" t="n"/>
      <c r="K179" s="166" t="n"/>
      <c r="L179" s="168" t="n"/>
      <c r="M179" s="167">
        <f>H179*I179+J179+K179</f>
        <v/>
      </c>
      <c r="N179" s="167">
        <f>M179*L179</f>
        <v/>
      </c>
      <c r="O179" s="167">
        <f>M179+N179</f>
        <v/>
      </c>
      <c r="P179" s="164" t="n"/>
    </row>
    <row r="180">
      <c r="A180" s="173" t="n"/>
      <c r="B180" s="164" t="n"/>
      <c r="C180" s="164" t="n"/>
      <c r="D180" s="164" t="n"/>
      <c r="E180" s="164" t="n"/>
      <c r="F180" s="164" t="n"/>
      <c r="G180" s="164" t="n"/>
      <c r="H180" s="164" t="n"/>
      <c r="I180" s="166" t="n"/>
      <c r="J180" s="166" t="n"/>
      <c r="K180" s="166" t="n"/>
      <c r="L180" s="168" t="n"/>
      <c r="M180" s="167">
        <f>H180*I180+J180+K180</f>
        <v/>
      </c>
      <c r="N180" s="167">
        <f>M180*L180</f>
        <v/>
      </c>
      <c r="O180" s="167">
        <f>M180+N180</f>
        <v/>
      </c>
      <c r="P180" s="164" t="n"/>
    </row>
    <row r="181">
      <c r="A181" s="173" t="n"/>
      <c r="B181" s="164" t="n"/>
      <c r="C181" s="164" t="n"/>
      <c r="D181" s="164" t="n"/>
      <c r="E181" s="164" t="n"/>
      <c r="F181" s="164" t="n"/>
      <c r="G181" s="164" t="n"/>
      <c r="H181" s="164" t="n"/>
      <c r="I181" s="166" t="n"/>
      <c r="J181" s="166" t="n"/>
      <c r="K181" s="166" t="n"/>
      <c r="L181" s="168" t="n"/>
      <c r="M181" s="167">
        <f>H181*I181+J181+K181</f>
        <v/>
      </c>
      <c r="N181" s="167">
        <f>M181*L181</f>
        <v/>
      </c>
      <c r="O181" s="167">
        <f>M181+N181</f>
        <v/>
      </c>
      <c r="P181" s="164" t="n"/>
    </row>
    <row r="182">
      <c r="A182" s="173" t="n"/>
      <c r="B182" s="164" t="n"/>
      <c r="C182" s="164" t="n"/>
      <c r="D182" s="164" t="n"/>
      <c r="E182" s="164" t="n"/>
      <c r="F182" s="164" t="n"/>
      <c r="G182" s="164" t="n"/>
      <c r="H182" s="164" t="n"/>
      <c r="I182" s="166" t="n"/>
      <c r="J182" s="166" t="n"/>
      <c r="K182" s="166" t="n"/>
      <c r="L182" s="168" t="n"/>
      <c r="M182" s="167">
        <f>H182*I182+J182+K182</f>
        <v/>
      </c>
      <c r="N182" s="167">
        <f>M182*L182</f>
        <v/>
      </c>
      <c r="O182" s="167">
        <f>M182+N182</f>
        <v/>
      </c>
      <c r="P182" s="164" t="n"/>
    </row>
    <row r="183">
      <c r="A183" s="173" t="n"/>
      <c r="B183" s="164" t="n"/>
      <c r="C183" s="164" t="n"/>
      <c r="D183" s="164" t="n"/>
      <c r="E183" s="164" t="n"/>
      <c r="F183" s="164" t="n"/>
      <c r="G183" s="164" t="n"/>
      <c r="H183" s="164" t="n"/>
      <c r="I183" s="166" t="n"/>
      <c r="J183" s="166" t="n"/>
      <c r="K183" s="166" t="n"/>
      <c r="L183" s="168" t="n"/>
      <c r="M183" s="167">
        <f>H183*I183+J183+K183</f>
        <v/>
      </c>
      <c r="N183" s="167">
        <f>M183*L183</f>
        <v/>
      </c>
      <c r="O183" s="167">
        <f>M183+N183</f>
        <v/>
      </c>
      <c r="P183" s="164" t="n"/>
    </row>
    <row r="184">
      <c r="A184" s="173" t="n"/>
      <c r="B184" s="164" t="n"/>
      <c r="C184" s="164" t="n"/>
      <c r="D184" s="164" t="n"/>
      <c r="E184" s="164" t="n"/>
      <c r="F184" s="164" t="n"/>
      <c r="G184" s="164" t="n"/>
      <c r="H184" s="164" t="n"/>
      <c r="I184" s="166" t="n"/>
      <c r="J184" s="166" t="n"/>
      <c r="K184" s="166" t="n"/>
      <c r="L184" s="168" t="n"/>
      <c r="M184" s="167">
        <f>H184*I184+J184+K184</f>
        <v/>
      </c>
      <c r="N184" s="167">
        <f>M184*L184</f>
        <v/>
      </c>
      <c r="O184" s="167">
        <f>M184+N184</f>
        <v/>
      </c>
      <c r="P184" s="164" t="n"/>
    </row>
    <row r="185">
      <c r="A185" s="173" t="n"/>
      <c r="B185" s="164" t="n"/>
      <c r="C185" s="164" t="n"/>
      <c r="D185" s="164" t="n"/>
      <c r="E185" s="164" t="n"/>
      <c r="F185" s="164" t="n"/>
      <c r="G185" s="164" t="n"/>
      <c r="H185" s="164" t="n"/>
      <c r="I185" s="166" t="n"/>
      <c r="J185" s="166" t="n"/>
      <c r="K185" s="166" t="n"/>
      <c r="L185" s="168" t="n"/>
      <c r="M185" s="167">
        <f>H185*I185+J185+K185</f>
        <v/>
      </c>
      <c r="N185" s="167">
        <f>M185*L185</f>
        <v/>
      </c>
      <c r="O185" s="167">
        <f>M185+N185</f>
        <v/>
      </c>
      <c r="P185" s="164" t="n"/>
    </row>
    <row r="186">
      <c r="A186" s="173" t="n"/>
      <c r="B186" s="164" t="n"/>
      <c r="C186" s="164" t="n"/>
      <c r="D186" s="164" t="n"/>
      <c r="E186" s="164" t="n"/>
      <c r="F186" s="164" t="n"/>
      <c r="G186" s="164" t="n"/>
      <c r="H186" s="164" t="n"/>
      <c r="I186" s="166" t="n"/>
      <c r="J186" s="166" t="n"/>
      <c r="K186" s="166" t="n"/>
      <c r="L186" s="168" t="n"/>
      <c r="M186" s="167">
        <f>H186*I186+J186+K186</f>
        <v/>
      </c>
      <c r="N186" s="167">
        <f>M186*L186</f>
        <v/>
      </c>
      <c r="O186" s="167">
        <f>M186+N186</f>
        <v/>
      </c>
      <c r="P186" s="164" t="n"/>
    </row>
    <row r="187">
      <c r="A187" s="173" t="n"/>
      <c r="B187" s="164" t="n"/>
      <c r="C187" s="164" t="n"/>
      <c r="D187" s="164" t="n"/>
      <c r="E187" s="164" t="n"/>
      <c r="F187" s="164" t="n"/>
      <c r="G187" s="164" t="n"/>
      <c r="H187" s="164" t="n"/>
      <c r="I187" s="166" t="n"/>
      <c r="J187" s="166" t="n"/>
      <c r="K187" s="166" t="n"/>
      <c r="L187" s="168" t="n"/>
      <c r="M187" s="167">
        <f>H187*I187+J187+K187</f>
        <v/>
      </c>
      <c r="N187" s="167">
        <f>M187*L187</f>
        <v/>
      </c>
      <c r="O187" s="167">
        <f>M187+N187</f>
        <v/>
      </c>
      <c r="P187" s="164" t="n"/>
    </row>
    <row r="188">
      <c r="A188" s="173" t="n"/>
      <c r="B188" s="164" t="n"/>
      <c r="C188" s="164" t="n"/>
      <c r="D188" s="164" t="n"/>
      <c r="E188" s="164" t="n"/>
      <c r="F188" s="164" t="n"/>
      <c r="G188" s="164" t="n"/>
      <c r="H188" s="164" t="n"/>
      <c r="I188" s="166" t="n"/>
      <c r="J188" s="166" t="n"/>
      <c r="K188" s="166" t="n"/>
      <c r="L188" s="168" t="n"/>
      <c r="M188" s="167">
        <f>H188*I188+J188+K188</f>
        <v/>
      </c>
      <c r="N188" s="167">
        <f>M188*L188</f>
        <v/>
      </c>
      <c r="O188" s="167">
        <f>M188+N188</f>
        <v/>
      </c>
      <c r="P188" s="164" t="n"/>
    </row>
    <row r="189">
      <c r="A189" s="173" t="n"/>
      <c r="B189" s="164" t="n"/>
      <c r="C189" s="164" t="n"/>
      <c r="D189" s="164" t="n"/>
      <c r="E189" s="164" t="n"/>
      <c r="F189" s="164" t="n"/>
      <c r="G189" s="164" t="n"/>
      <c r="H189" s="164" t="n"/>
      <c r="I189" s="166" t="n"/>
      <c r="J189" s="166" t="n"/>
      <c r="K189" s="166" t="n"/>
      <c r="L189" s="168" t="n"/>
      <c r="M189" s="167">
        <f>H189*I189+J189+K189</f>
        <v/>
      </c>
      <c r="N189" s="167">
        <f>M189*L189</f>
        <v/>
      </c>
      <c r="O189" s="167">
        <f>M189+N189</f>
        <v/>
      </c>
      <c r="P189" s="164" t="n"/>
    </row>
    <row r="190">
      <c r="A190" s="173" t="n"/>
      <c r="B190" s="164" t="n"/>
      <c r="C190" s="164" t="n"/>
      <c r="D190" s="164" t="n"/>
      <c r="E190" s="164" t="n"/>
      <c r="F190" s="164" t="n"/>
      <c r="G190" s="164" t="n"/>
      <c r="H190" s="164" t="n"/>
      <c r="I190" s="166" t="n"/>
      <c r="J190" s="166" t="n"/>
      <c r="K190" s="166" t="n"/>
      <c r="L190" s="168" t="n"/>
      <c r="M190" s="167">
        <f>H190*I190+J190+K190</f>
        <v/>
      </c>
      <c r="N190" s="167">
        <f>M190*L190</f>
        <v/>
      </c>
      <c r="O190" s="167">
        <f>M190+N190</f>
        <v/>
      </c>
      <c r="P190" s="164" t="n"/>
    </row>
    <row r="191">
      <c r="A191" s="173" t="n"/>
      <c r="B191" s="164" t="n"/>
      <c r="C191" s="164" t="n"/>
      <c r="D191" s="164" t="n"/>
      <c r="E191" s="164" t="n"/>
      <c r="F191" s="164" t="n"/>
      <c r="G191" s="164" t="n"/>
      <c r="H191" s="164" t="n"/>
      <c r="I191" s="166" t="n"/>
      <c r="J191" s="166" t="n"/>
      <c r="K191" s="166" t="n"/>
      <c r="L191" s="168" t="n"/>
      <c r="M191" s="167">
        <f>H191*I191+J191+K191</f>
        <v/>
      </c>
      <c r="N191" s="167">
        <f>M191*L191</f>
        <v/>
      </c>
      <c r="O191" s="167">
        <f>M191+N191</f>
        <v/>
      </c>
      <c r="P191" s="164" t="n"/>
    </row>
    <row r="192">
      <c r="A192" s="173" t="n"/>
      <c r="B192" s="164" t="n"/>
      <c r="C192" s="164" t="n"/>
      <c r="D192" s="164" t="n"/>
      <c r="E192" s="164" t="n"/>
      <c r="F192" s="164" t="n"/>
      <c r="G192" s="164" t="n"/>
      <c r="H192" s="164" t="n"/>
      <c r="I192" s="166" t="n"/>
      <c r="J192" s="166" t="n"/>
      <c r="K192" s="166" t="n"/>
      <c r="L192" s="168" t="n"/>
      <c r="M192" s="167">
        <f>H192*I192+J192+K192</f>
        <v/>
      </c>
      <c r="N192" s="167">
        <f>M192*L192</f>
        <v/>
      </c>
      <c r="O192" s="167">
        <f>M192+N192</f>
        <v/>
      </c>
      <c r="P192" s="164" t="n"/>
    </row>
    <row r="193">
      <c r="A193" s="173" t="n"/>
      <c r="B193" s="164" t="n"/>
      <c r="C193" s="164" t="n"/>
      <c r="D193" s="164" t="n"/>
      <c r="E193" s="164" t="n"/>
      <c r="F193" s="164" t="n"/>
      <c r="G193" s="164" t="n"/>
      <c r="H193" s="164" t="n"/>
      <c r="I193" s="166" t="n"/>
      <c r="J193" s="166" t="n"/>
      <c r="K193" s="166" t="n"/>
      <c r="L193" s="168" t="n"/>
      <c r="M193" s="167">
        <f>H193*I193+J193+K193</f>
        <v/>
      </c>
      <c r="N193" s="167">
        <f>M193*L193</f>
        <v/>
      </c>
      <c r="O193" s="167">
        <f>M193+N193</f>
        <v/>
      </c>
      <c r="P193" s="164" t="n"/>
    </row>
    <row r="194">
      <c r="A194" s="173" t="n"/>
      <c r="B194" s="164" t="n"/>
      <c r="C194" s="164" t="n"/>
      <c r="D194" s="164" t="n"/>
      <c r="E194" s="164" t="n"/>
      <c r="F194" s="164" t="n"/>
      <c r="G194" s="164" t="n"/>
      <c r="H194" s="164" t="n"/>
      <c r="I194" s="166" t="n"/>
      <c r="J194" s="166" t="n"/>
      <c r="K194" s="166" t="n"/>
      <c r="L194" s="168" t="n"/>
      <c r="M194" s="167">
        <f>H194*I194+J194+K194</f>
        <v/>
      </c>
      <c r="N194" s="167">
        <f>M194*L194</f>
        <v/>
      </c>
      <c r="O194" s="167">
        <f>M194+N194</f>
        <v/>
      </c>
      <c r="P194" s="164" t="n"/>
    </row>
    <row r="195">
      <c r="A195" s="173" t="n"/>
      <c r="B195" s="164" t="n"/>
      <c r="C195" s="164" t="n"/>
      <c r="D195" s="164" t="n"/>
      <c r="E195" s="164" t="n"/>
      <c r="F195" s="164" t="n"/>
      <c r="G195" s="164" t="n"/>
      <c r="H195" s="164" t="n"/>
      <c r="I195" s="166" t="n"/>
      <c r="J195" s="166" t="n"/>
      <c r="K195" s="166" t="n"/>
      <c r="L195" s="168" t="n"/>
      <c r="M195" s="167">
        <f>H195*I195+J195+K195</f>
        <v/>
      </c>
      <c r="N195" s="167">
        <f>M195*L195</f>
        <v/>
      </c>
      <c r="O195" s="167">
        <f>M195+N195</f>
        <v/>
      </c>
      <c r="P195" s="164" t="n"/>
    </row>
    <row r="196">
      <c r="A196" s="173" t="n"/>
      <c r="B196" s="164" t="n"/>
      <c r="C196" s="164" t="n"/>
      <c r="D196" s="164" t="n"/>
      <c r="E196" s="164" t="n"/>
      <c r="F196" s="164" t="n"/>
      <c r="G196" s="164" t="n"/>
      <c r="H196" s="164" t="n"/>
      <c r="I196" s="166" t="n"/>
      <c r="J196" s="166" t="n"/>
      <c r="K196" s="166" t="n"/>
      <c r="L196" s="168" t="n"/>
      <c r="M196" s="167">
        <f>H196*I196+J196+K196</f>
        <v/>
      </c>
      <c r="N196" s="167">
        <f>M196*L196</f>
        <v/>
      </c>
      <c r="O196" s="167">
        <f>M196+N196</f>
        <v/>
      </c>
      <c r="P196" s="164" t="n"/>
    </row>
    <row r="197">
      <c r="A197" s="173" t="n"/>
      <c r="B197" s="164" t="n"/>
      <c r="C197" s="164" t="n"/>
      <c r="D197" s="164" t="n"/>
      <c r="E197" s="164" t="n"/>
      <c r="F197" s="164" t="n"/>
      <c r="G197" s="164" t="n"/>
      <c r="H197" s="164" t="n"/>
      <c r="I197" s="166" t="n"/>
      <c r="J197" s="166" t="n"/>
      <c r="K197" s="166" t="n"/>
      <c r="L197" s="168" t="n"/>
      <c r="M197" s="167">
        <f>H197*I197+J197+K197</f>
        <v/>
      </c>
      <c r="N197" s="167">
        <f>M197*L197</f>
        <v/>
      </c>
      <c r="O197" s="167">
        <f>M197+N197</f>
        <v/>
      </c>
      <c r="P197" s="164" t="n"/>
    </row>
    <row r="198">
      <c r="A198" s="173" t="n"/>
      <c r="B198" s="164" t="n"/>
      <c r="C198" s="164" t="n"/>
      <c r="D198" s="164" t="n"/>
      <c r="E198" s="164" t="n"/>
      <c r="F198" s="164" t="n"/>
      <c r="G198" s="164" t="n"/>
      <c r="H198" s="164" t="n"/>
      <c r="I198" s="166" t="n"/>
      <c r="J198" s="166" t="n"/>
      <c r="K198" s="166" t="n"/>
      <c r="L198" s="168" t="n"/>
      <c r="M198" s="167">
        <f>H198*I198+J198+K198</f>
        <v/>
      </c>
      <c r="N198" s="167">
        <f>M198*L198</f>
        <v/>
      </c>
      <c r="O198" s="167">
        <f>M198+N198</f>
        <v/>
      </c>
      <c r="P198" s="164" t="n"/>
    </row>
    <row r="199">
      <c r="A199" s="173" t="n"/>
      <c r="B199" s="164" t="n"/>
      <c r="C199" s="164" t="n"/>
      <c r="D199" s="164" t="n"/>
      <c r="E199" s="164" t="n"/>
      <c r="F199" s="164" t="n"/>
      <c r="G199" s="164" t="n"/>
      <c r="H199" s="164" t="n"/>
      <c r="I199" s="166" t="n"/>
      <c r="J199" s="166" t="n"/>
      <c r="K199" s="166" t="n"/>
      <c r="L199" s="168" t="n"/>
      <c r="M199" s="167">
        <f>H199*I199+J199+K199</f>
        <v/>
      </c>
      <c r="N199" s="167">
        <f>M199*L199</f>
        <v/>
      </c>
      <c r="O199" s="167">
        <f>M199+N199</f>
        <v/>
      </c>
      <c r="P199" s="164" t="n"/>
    </row>
    <row r="200">
      <c r="A200" s="173" t="n"/>
      <c r="B200" s="164" t="n"/>
      <c r="C200" s="164" t="n"/>
      <c r="D200" s="164" t="n"/>
      <c r="E200" s="164" t="n"/>
      <c r="F200" s="164" t="n"/>
      <c r="G200" s="164" t="n"/>
      <c r="H200" s="164" t="n"/>
      <c r="I200" s="166" t="n"/>
      <c r="J200" s="166" t="n"/>
      <c r="K200" s="166" t="n"/>
      <c r="L200" s="168" t="n"/>
      <c r="M200" s="167">
        <f>H200*I200+J200+K200</f>
        <v/>
      </c>
      <c r="N200" s="167">
        <f>M200*L200</f>
        <v/>
      </c>
      <c r="O200" s="167">
        <f>M200+N200</f>
        <v/>
      </c>
      <c r="P200" s="164" t="n"/>
    </row>
    <row r="201">
      <c r="A201" s="173" t="n"/>
      <c r="B201" s="164" t="n"/>
      <c r="C201" s="164" t="n"/>
      <c r="D201" s="164" t="n"/>
      <c r="E201" s="164" t="n"/>
      <c r="F201" s="164" t="n"/>
      <c r="G201" s="164" t="n"/>
      <c r="H201" s="164" t="n"/>
      <c r="I201" s="166" t="n"/>
      <c r="J201" s="166" t="n"/>
      <c r="K201" s="166" t="n"/>
      <c r="L201" s="168" t="n"/>
      <c r="M201" s="167">
        <f>H201*I201+J201+K201</f>
        <v/>
      </c>
      <c r="N201" s="167">
        <f>M201*L201</f>
        <v/>
      </c>
      <c r="O201" s="167">
        <f>M201+N201</f>
        <v/>
      </c>
      <c r="P201" s="164" t="n"/>
    </row>
    <row r="202">
      <c r="A202" s="173" t="n"/>
      <c r="B202" s="164" t="n"/>
      <c r="C202" s="164" t="n"/>
      <c r="D202" s="164" t="n"/>
      <c r="E202" s="164" t="n"/>
      <c r="F202" s="164" t="n"/>
      <c r="G202" s="164" t="n"/>
      <c r="H202" s="164" t="n"/>
      <c r="I202" s="166" t="n"/>
      <c r="J202" s="166" t="n"/>
      <c r="K202" s="166" t="n"/>
      <c r="L202" s="168" t="n"/>
      <c r="M202" s="167">
        <f>H202*I202+J202+K202</f>
        <v/>
      </c>
      <c r="N202" s="167">
        <f>M202*L202</f>
        <v/>
      </c>
      <c r="O202" s="167">
        <f>M202+N202</f>
        <v/>
      </c>
      <c r="P202" s="164" t="n"/>
    </row>
    <row r="203">
      <c r="A203" s="173" t="n"/>
      <c r="B203" s="164" t="n"/>
      <c r="C203" s="164" t="n"/>
      <c r="D203" s="164" t="n"/>
      <c r="E203" s="164" t="n"/>
      <c r="F203" s="164" t="n"/>
      <c r="G203" s="164" t="n"/>
      <c r="H203" s="164" t="n"/>
      <c r="I203" s="166" t="n"/>
      <c r="J203" s="166" t="n"/>
      <c r="K203" s="166" t="n"/>
      <c r="L203" s="168" t="n"/>
      <c r="M203" s="167">
        <f>H203*I203+J203+K203</f>
        <v/>
      </c>
      <c r="N203" s="167">
        <f>M203*L203</f>
        <v/>
      </c>
      <c r="O203" s="167">
        <f>M203+N203</f>
        <v/>
      </c>
      <c r="P203" s="164" t="n"/>
    </row>
    <row r="204">
      <c r="A204" s="173" t="n"/>
      <c r="B204" s="164" t="n"/>
      <c r="C204" s="164" t="n"/>
      <c r="D204" s="164" t="n"/>
      <c r="E204" s="164" t="n"/>
      <c r="F204" s="164" t="n"/>
      <c r="G204" s="164" t="n"/>
      <c r="H204" s="164" t="n"/>
      <c r="I204" s="166" t="n"/>
      <c r="J204" s="166" t="n"/>
      <c r="K204" s="166" t="n"/>
      <c r="L204" s="168" t="n"/>
      <c r="M204" s="167">
        <f>H204*I204+J204+K204</f>
        <v/>
      </c>
      <c r="N204" s="167">
        <f>M204*L204</f>
        <v/>
      </c>
      <c r="O204" s="167">
        <f>M204+N204</f>
        <v/>
      </c>
      <c r="P204" s="164" t="n"/>
    </row>
    <row r="205">
      <c r="A205" s="173" t="n"/>
      <c r="B205" s="164" t="n"/>
      <c r="C205" s="164" t="n"/>
      <c r="D205" s="164" t="n"/>
      <c r="E205" s="164" t="n"/>
      <c r="F205" s="164" t="n"/>
      <c r="G205" s="164" t="n"/>
      <c r="H205" s="164" t="n"/>
      <c r="I205" s="166" t="n"/>
      <c r="J205" s="166" t="n"/>
      <c r="K205" s="166" t="n"/>
      <c r="L205" s="168" t="n"/>
      <c r="M205" s="167">
        <f>H205*I205+J205+K205</f>
        <v/>
      </c>
      <c r="N205" s="167">
        <f>M205*L205</f>
        <v/>
      </c>
      <c r="O205" s="167">
        <f>M205+N205</f>
        <v/>
      </c>
      <c r="P205" s="164" t="n"/>
    </row>
    <row r="206">
      <c r="A206" s="173" t="n"/>
      <c r="B206" s="164" t="n"/>
      <c r="C206" s="164" t="n"/>
      <c r="D206" s="164" t="n"/>
      <c r="E206" s="164" t="n"/>
      <c r="F206" s="164" t="n"/>
      <c r="G206" s="164" t="n"/>
      <c r="H206" s="164" t="n"/>
      <c r="I206" s="166" t="n"/>
      <c r="J206" s="166" t="n"/>
      <c r="K206" s="166" t="n"/>
      <c r="L206" s="168" t="n"/>
      <c r="M206" s="167">
        <f>H206*I206+J206+K206</f>
        <v/>
      </c>
      <c r="N206" s="167">
        <f>M206*L206</f>
        <v/>
      </c>
      <c r="O206" s="167">
        <f>M206+N206</f>
        <v/>
      </c>
      <c r="P206" s="164" t="n"/>
    </row>
    <row r="207">
      <c r="A207" s="173" t="n"/>
      <c r="B207" s="164" t="n"/>
      <c r="C207" s="164" t="n"/>
      <c r="D207" s="164" t="n"/>
      <c r="E207" s="164" t="n"/>
      <c r="F207" s="164" t="n"/>
      <c r="G207" s="164" t="n"/>
      <c r="H207" s="164" t="n"/>
      <c r="I207" s="166" t="n"/>
      <c r="J207" s="166" t="n"/>
      <c r="K207" s="166" t="n"/>
      <c r="L207" s="168" t="n"/>
      <c r="M207" s="167">
        <f>H207*I207+J207+K207</f>
        <v/>
      </c>
      <c r="N207" s="167">
        <f>M207*L207</f>
        <v/>
      </c>
      <c r="O207" s="167">
        <f>M207+N207</f>
        <v/>
      </c>
      <c r="P207" s="164" t="n"/>
    </row>
    <row r="208">
      <c r="A208" s="173" t="n"/>
      <c r="B208" s="164" t="n"/>
      <c r="C208" s="164" t="n"/>
      <c r="D208" s="164" t="n"/>
      <c r="E208" s="164" t="n"/>
      <c r="F208" s="164" t="n"/>
      <c r="G208" s="164" t="n"/>
      <c r="H208" s="164" t="n"/>
      <c r="I208" s="166" t="n"/>
      <c r="J208" s="166" t="n"/>
      <c r="K208" s="166" t="n"/>
      <c r="L208" s="168" t="n"/>
      <c r="M208" s="167">
        <f>H208*I208+J208+K208</f>
        <v/>
      </c>
      <c r="N208" s="167">
        <f>M208*L208</f>
        <v/>
      </c>
      <c r="O208" s="167">
        <f>M208+N208</f>
        <v/>
      </c>
      <c r="P208" s="164" t="n"/>
    </row>
    <row r="209">
      <c r="A209" s="173" t="n"/>
      <c r="B209" s="164" t="n"/>
      <c r="C209" s="164" t="n"/>
      <c r="D209" s="164" t="n"/>
      <c r="E209" s="164" t="n"/>
      <c r="F209" s="164" t="n"/>
      <c r="G209" s="164" t="n"/>
      <c r="H209" s="164" t="n"/>
      <c r="I209" s="166" t="n"/>
      <c r="J209" s="166" t="n"/>
      <c r="K209" s="166" t="n"/>
      <c r="L209" s="168" t="n"/>
      <c r="M209" s="167">
        <f>H209*I209+J209+K209</f>
        <v/>
      </c>
      <c r="N209" s="167">
        <f>M209*L209</f>
        <v/>
      </c>
      <c r="O209" s="167">
        <f>M209+N209</f>
        <v/>
      </c>
      <c r="P209" s="164" t="n"/>
    </row>
    <row r="210">
      <c r="A210" s="173" t="n"/>
      <c r="B210" s="164" t="n"/>
      <c r="C210" s="164" t="n"/>
      <c r="D210" s="164" t="n"/>
      <c r="E210" s="164" t="n"/>
      <c r="F210" s="164" t="n"/>
      <c r="G210" s="164" t="n"/>
      <c r="H210" s="164" t="n"/>
      <c r="I210" s="166" t="n"/>
      <c r="J210" s="166" t="n"/>
      <c r="K210" s="166" t="n"/>
      <c r="L210" s="168" t="n"/>
      <c r="M210" s="167">
        <f>H210*I210+J210+K210</f>
        <v/>
      </c>
      <c r="N210" s="167">
        <f>M210*L210</f>
        <v/>
      </c>
      <c r="O210" s="167">
        <f>M210+N210</f>
        <v/>
      </c>
      <c r="P210" s="164" t="n"/>
    </row>
    <row r="211">
      <c r="A211" s="173" t="n"/>
      <c r="B211" s="164" t="n"/>
      <c r="C211" s="164" t="n"/>
      <c r="D211" s="164" t="n"/>
      <c r="E211" s="164" t="n"/>
      <c r="F211" s="164" t="n"/>
      <c r="G211" s="164" t="n"/>
      <c r="H211" s="164" t="n"/>
      <c r="I211" s="166" t="n"/>
      <c r="J211" s="166" t="n"/>
      <c r="K211" s="166" t="n"/>
      <c r="L211" s="168" t="n"/>
      <c r="M211" s="167">
        <f>H211*I211+J211+K211</f>
        <v/>
      </c>
      <c r="N211" s="167">
        <f>M211*L211</f>
        <v/>
      </c>
      <c r="O211" s="167">
        <f>M211+N211</f>
        <v/>
      </c>
      <c r="P211" s="164" t="n"/>
    </row>
    <row r="212">
      <c r="A212" s="173" t="n"/>
      <c r="B212" s="164" t="n"/>
      <c r="C212" s="164" t="n"/>
      <c r="D212" s="164" t="n"/>
      <c r="E212" s="164" t="n"/>
      <c r="F212" s="164" t="n"/>
      <c r="G212" s="164" t="n"/>
      <c r="H212" s="164" t="n"/>
      <c r="I212" s="166" t="n"/>
      <c r="J212" s="166" t="n"/>
      <c r="K212" s="166" t="n"/>
      <c r="L212" s="168" t="n"/>
      <c r="M212" s="167">
        <f>H212*I212+J212+K212</f>
        <v/>
      </c>
      <c r="N212" s="167">
        <f>M212*L212</f>
        <v/>
      </c>
      <c r="O212" s="167">
        <f>M212+N212</f>
        <v/>
      </c>
      <c r="P212" s="164" t="n"/>
    </row>
    <row r="213">
      <c r="A213" s="173" t="n"/>
      <c r="B213" s="164" t="n"/>
      <c r="C213" s="164" t="n"/>
      <c r="D213" s="164" t="n"/>
      <c r="E213" s="164" t="n"/>
      <c r="F213" s="164" t="n"/>
      <c r="G213" s="164" t="n"/>
      <c r="H213" s="164" t="n"/>
      <c r="I213" s="166" t="n"/>
      <c r="J213" s="166" t="n"/>
      <c r="K213" s="166" t="n"/>
      <c r="L213" s="168" t="n"/>
      <c r="M213" s="167">
        <f>H213*I213+J213+K213</f>
        <v/>
      </c>
      <c r="N213" s="167">
        <f>M213*L213</f>
        <v/>
      </c>
      <c r="O213" s="167">
        <f>M213+N213</f>
        <v/>
      </c>
      <c r="P213" s="164" t="n"/>
    </row>
    <row r="214">
      <c r="A214" s="173" t="n"/>
      <c r="B214" s="164" t="n"/>
      <c r="C214" s="164" t="n"/>
      <c r="D214" s="164" t="n"/>
      <c r="E214" s="164" t="n"/>
      <c r="F214" s="164" t="n"/>
      <c r="G214" s="164" t="n"/>
      <c r="H214" s="164" t="n"/>
      <c r="I214" s="166" t="n"/>
      <c r="J214" s="166" t="n"/>
      <c r="K214" s="166" t="n"/>
      <c r="L214" s="168" t="n"/>
      <c r="M214" s="167">
        <f>H214*I214+J214+K214</f>
        <v/>
      </c>
      <c r="N214" s="167">
        <f>M214*L214</f>
        <v/>
      </c>
      <c r="O214" s="167">
        <f>M214+N214</f>
        <v/>
      </c>
      <c r="P214" s="164" t="n"/>
    </row>
    <row r="215">
      <c r="A215" s="173" t="n"/>
      <c r="B215" s="164" t="n"/>
      <c r="C215" s="164" t="n"/>
      <c r="D215" s="164" t="n"/>
      <c r="E215" s="164" t="n"/>
      <c r="F215" s="164" t="n"/>
      <c r="G215" s="164" t="n"/>
      <c r="H215" s="164" t="n"/>
      <c r="I215" s="166" t="n"/>
      <c r="J215" s="166" t="n"/>
      <c r="K215" s="166" t="n"/>
      <c r="L215" s="168" t="n"/>
      <c r="M215" s="167">
        <f>H215*I215+J215+K215</f>
        <v/>
      </c>
      <c r="N215" s="167">
        <f>M215*L215</f>
        <v/>
      </c>
      <c r="O215" s="167">
        <f>M215+N215</f>
        <v/>
      </c>
      <c r="P215" s="164" t="n"/>
    </row>
    <row r="216">
      <c r="A216" s="173" t="n"/>
      <c r="B216" s="164" t="n"/>
      <c r="C216" s="164" t="n"/>
      <c r="D216" s="164" t="n"/>
      <c r="E216" s="164" t="n"/>
      <c r="F216" s="164" t="n"/>
      <c r="G216" s="164" t="n"/>
      <c r="H216" s="164" t="n"/>
      <c r="I216" s="166" t="n"/>
      <c r="J216" s="166" t="n"/>
      <c r="K216" s="166" t="n"/>
      <c r="L216" s="168" t="n"/>
      <c r="M216" s="167">
        <f>H216*I216+J216+K216</f>
        <v/>
      </c>
      <c r="N216" s="167">
        <f>M216*L216</f>
        <v/>
      </c>
      <c r="O216" s="167">
        <f>M216+N216</f>
        <v/>
      </c>
      <c r="P216" s="164" t="n"/>
    </row>
    <row r="217">
      <c r="A217" s="173" t="n"/>
      <c r="B217" s="164" t="n"/>
      <c r="C217" s="164" t="n"/>
      <c r="D217" s="164" t="n"/>
      <c r="E217" s="164" t="n"/>
      <c r="F217" s="164" t="n"/>
      <c r="G217" s="164" t="n"/>
      <c r="H217" s="164" t="n"/>
      <c r="I217" s="166" t="n"/>
      <c r="J217" s="166" t="n"/>
      <c r="K217" s="166" t="n"/>
      <c r="L217" s="168" t="n"/>
      <c r="M217" s="167">
        <f>H217*I217+J217+K217</f>
        <v/>
      </c>
      <c r="N217" s="167">
        <f>M217*L217</f>
        <v/>
      </c>
      <c r="O217" s="167">
        <f>M217+N217</f>
        <v/>
      </c>
      <c r="P217" s="164" t="n"/>
    </row>
    <row r="218">
      <c r="A218" s="173" t="n"/>
      <c r="B218" s="164" t="n"/>
      <c r="C218" s="164" t="n"/>
      <c r="D218" s="164" t="n"/>
      <c r="E218" s="164" t="n"/>
      <c r="F218" s="164" t="n"/>
      <c r="G218" s="164" t="n"/>
      <c r="H218" s="164" t="n"/>
      <c r="I218" s="166" t="n"/>
      <c r="J218" s="166" t="n"/>
      <c r="K218" s="166" t="n"/>
      <c r="L218" s="168" t="n"/>
      <c r="M218" s="167">
        <f>H218*I218+J218+K218</f>
        <v/>
      </c>
      <c r="N218" s="167">
        <f>M218*L218</f>
        <v/>
      </c>
      <c r="O218" s="167">
        <f>M218+N218</f>
        <v/>
      </c>
      <c r="P218" s="164" t="n"/>
    </row>
    <row r="219">
      <c r="A219" s="173" t="n"/>
      <c r="B219" s="164" t="n"/>
      <c r="C219" s="164" t="n"/>
      <c r="D219" s="164" t="n"/>
      <c r="E219" s="164" t="n"/>
      <c r="F219" s="164" t="n"/>
      <c r="G219" s="164" t="n"/>
      <c r="H219" s="164" t="n"/>
      <c r="I219" s="166" t="n"/>
      <c r="J219" s="166" t="n"/>
      <c r="K219" s="166" t="n"/>
      <c r="L219" s="168" t="n"/>
      <c r="M219" s="167">
        <f>H219*I219+J219+K219</f>
        <v/>
      </c>
      <c r="N219" s="167">
        <f>M219*L219</f>
        <v/>
      </c>
      <c r="O219" s="167">
        <f>M219+N219</f>
        <v/>
      </c>
      <c r="P219" s="164" t="n"/>
    </row>
    <row r="220">
      <c r="A220" s="173" t="n"/>
      <c r="B220" s="164" t="n"/>
      <c r="C220" s="164" t="n"/>
      <c r="D220" s="164" t="n"/>
      <c r="E220" s="164" t="n"/>
      <c r="F220" s="164" t="n"/>
      <c r="G220" s="164" t="n"/>
      <c r="H220" s="164" t="n"/>
      <c r="I220" s="166" t="n"/>
      <c r="J220" s="166" t="n"/>
      <c r="K220" s="166" t="n"/>
      <c r="L220" s="168" t="n"/>
      <c r="M220" s="167">
        <f>H220*I220+J220+K220</f>
        <v/>
      </c>
      <c r="N220" s="167">
        <f>M220*L220</f>
        <v/>
      </c>
      <c r="O220" s="167">
        <f>M220+N220</f>
        <v/>
      </c>
      <c r="P220" s="164" t="n"/>
    </row>
    <row r="221">
      <c r="A221" s="173" t="n"/>
      <c r="B221" s="164" t="n"/>
      <c r="C221" s="164" t="n"/>
      <c r="D221" s="164" t="n"/>
      <c r="E221" s="164" t="n"/>
      <c r="F221" s="164" t="n"/>
      <c r="G221" s="164" t="n"/>
      <c r="H221" s="164" t="n"/>
      <c r="I221" s="166" t="n"/>
      <c r="J221" s="166" t="n"/>
      <c r="K221" s="166" t="n"/>
      <c r="L221" s="168" t="n"/>
      <c r="M221" s="167">
        <f>H221*I221+J221+K221</f>
        <v/>
      </c>
      <c r="N221" s="167">
        <f>M221*L221</f>
        <v/>
      </c>
      <c r="O221" s="167">
        <f>M221+N221</f>
        <v/>
      </c>
      <c r="P221" s="164" t="n"/>
    </row>
    <row r="222">
      <c r="A222" s="173" t="n"/>
      <c r="B222" s="164" t="n"/>
      <c r="C222" s="164" t="n"/>
      <c r="D222" s="164" t="n"/>
      <c r="E222" s="164" t="n"/>
      <c r="F222" s="164" t="n"/>
      <c r="G222" s="164" t="n"/>
      <c r="H222" s="164" t="n"/>
      <c r="I222" s="166" t="n"/>
      <c r="J222" s="166" t="n"/>
      <c r="K222" s="166" t="n"/>
      <c r="L222" s="168" t="n"/>
      <c r="M222" s="167">
        <f>H222*I222+J222+K222</f>
        <v/>
      </c>
      <c r="N222" s="167">
        <f>M222*L222</f>
        <v/>
      </c>
      <c r="O222" s="167">
        <f>M222+N222</f>
        <v/>
      </c>
      <c r="P222" s="164" t="n"/>
    </row>
    <row r="223">
      <c r="A223" s="173" t="n"/>
      <c r="B223" s="164" t="n"/>
      <c r="C223" s="164" t="n"/>
      <c r="D223" s="164" t="n"/>
      <c r="E223" s="164" t="n"/>
      <c r="F223" s="164" t="n"/>
      <c r="G223" s="164" t="n"/>
      <c r="H223" s="164" t="n"/>
      <c r="I223" s="166" t="n"/>
      <c r="J223" s="166" t="n"/>
      <c r="K223" s="166" t="n"/>
      <c r="L223" s="168" t="n"/>
      <c r="M223" s="167">
        <f>H223*I223+J223+K223</f>
        <v/>
      </c>
      <c r="N223" s="167">
        <f>M223*L223</f>
        <v/>
      </c>
      <c r="O223" s="167">
        <f>M223+N223</f>
        <v/>
      </c>
      <c r="P223" s="164" t="n"/>
    </row>
    <row r="224">
      <c r="A224" s="173" t="n"/>
      <c r="B224" s="164" t="n"/>
      <c r="C224" s="164" t="n"/>
      <c r="D224" s="164" t="n"/>
      <c r="E224" s="164" t="n"/>
      <c r="F224" s="164" t="n"/>
      <c r="G224" s="164" t="n"/>
      <c r="H224" s="164" t="n"/>
      <c r="I224" s="166" t="n"/>
      <c r="J224" s="166" t="n"/>
      <c r="K224" s="166" t="n"/>
      <c r="L224" s="168" t="n"/>
      <c r="M224" s="167">
        <f>H224*I224+J224+K224</f>
        <v/>
      </c>
      <c r="N224" s="167">
        <f>M224*L224</f>
        <v/>
      </c>
      <c r="O224" s="167">
        <f>M224+N224</f>
        <v/>
      </c>
      <c r="P224" s="164" t="n"/>
    </row>
    <row r="225">
      <c r="A225" s="173" t="n"/>
      <c r="B225" s="164" t="n"/>
      <c r="C225" s="164" t="n"/>
      <c r="D225" s="164" t="n"/>
      <c r="E225" s="164" t="n"/>
      <c r="F225" s="164" t="n"/>
      <c r="G225" s="164" t="n"/>
      <c r="H225" s="164" t="n"/>
      <c r="I225" s="166" t="n"/>
      <c r="J225" s="166" t="n"/>
      <c r="K225" s="166" t="n"/>
      <c r="L225" s="168" t="n"/>
      <c r="M225" s="167">
        <f>H225*I225+J225+K225</f>
        <v/>
      </c>
      <c r="N225" s="167">
        <f>M225*L225</f>
        <v/>
      </c>
      <c r="O225" s="167">
        <f>M225+N225</f>
        <v/>
      </c>
      <c r="P225" s="164" t="n"/>
    </row>
    <row r="226">
      <c r="A226" s="173" t="n"/>
      <c r="B226" s="164" t="n"/>
      <c r="C226" s="164" t="n"/>
      <c r="D226" s="164" t="n"/>
      <c r="E226" s="164" t="n"/>
      <c r="F226" s="164" t="n"/>
      <c r="G226" s="164" t="n"/>
      <c r="H226" s="164" t="n"/>
      <c r="I226" s="166" t="n"/>
      <c r="J226" s="166" t="n"/>
      <c r="K226" s="166" t="n"/>
      <c r="L226" s="168" t="n"/>
      <c r="M226" s="167">
        <f>H226*I226+J226+K226</f>
        <v/>
      </c>
      <c r="N226" s="167">
        <f>M226*L226</f>
        <v/>
      </c>
      <c r="O226" s="167">
        <f>M226+N226</f>
        <v/>
      </c>
      <c r="P226" s="164" t="n"/>
    </row>
    <row r="227">
      <c r="A227" s="173" t="n"/>
      <c r="B227" s="164" t="n"/>
      <c r="C227" s="164" t="n"/>
      <c r="D227" s="164" t="n"/>
      <c r="E227" s="164" t="n"/>
      <c r="F227" s="164" t="n"/>
      <c r="G227" s="164" t="n"/>
      <c r="H227" s="164" t="n"/>
      <c r="I227" s="166" t="n"/>
      <c r="J227" s="166" t="n"/>
      <c r="K227" s="166" t="n"/>
      <c r="L227" s="168" t="n"/>
      <c r="M227" s="167">
        <f>H227*I227+J227+K227</f>
        <v/>
      </c>
      <c r="N227" s="167">
        <f>M227*L227</f>
        <v/>
      </c>
      <c r="O227" s="167">
        <f>M227+N227</f>
        <v/>
      </c>
      <c r="P227" s="164" t="n"/>
    </row>
    <row r="228">
      <c r="A228" s="173" t="n"/>
      <c r="B228" s="164" t="n"/>
      <c r="C228" s="164" t="n"/>
      <c r="D228" s="164" t="n"/>
      <c r="E228" s="164" t="n"/>
      <c r="F228" s="164" t="n"/>
      <c r="G228" s="164" t="n"/>
      <c r="H228" s="164" t="n"/>
      <c r="I228" s="166" t="n"/>
      <c r="J228" s="166" t="n"/>
      <c r="K228" s="166" t="n"/>
      <c r="L228" s="168" t="n"/>
      <c r="M228" s="167">
        <f>H228*I228+J228+K228</f>
        <v/>
      </c>
      <c r="N228" s="167">
        <f>M228*L228</f>
        <v/>
      </c>
      <c r="O228" s="167">
        <f>M228+N228</f>
        <v/>
      </c>
      <c r="P228" s="164" t="n"/>
    </row>
    <row r="229">
      <c r="A229" s="173" t="n"/>
      <c r="B229" s="164" t="n"/>
      <c r="C229" s="164" t="n"/>
      <c r="D229" s="164" t="n"/>
      <c r="E229" s="164" t="n"/>
      <c r="F229" s="164" t="n"/>
      <c r="G229" s="164" t="n"/>
      <c r="H229" s="164" t="n"/>
      <c r="I229" s="166" t="n"/>
      <c r="J229" s="166" t="n"/>
      <c r="K229" s="166" t="n"/>
      <c r="L229" s="168" t="n"/>
      <c r="M229" s="167">
        <f>H229*I229+J229+K229</f>
        <v/>
      </c>
      <c r="N229" s="167">
        <f>M229*L229</f>
        <v/>
      </c>
      <c r="O229" s="167">
        <f>M229+N229</f>
        <v/>
      </c>
      <c r="P229" s="164" t="n"/>
    </row>
    <row r="230">
      <c r="A230" s="173" t="n"/>
      <c r="B230" s="164" t="n"/>
      <c r="C230" s="164" t="n"/>
      <c r="D230" s="164" t="n"/>
      <c r="E230" s="164" t="n"/>
      <c r="F230" s="164" t="n"/>
      <c r="G230" s="164" t="n"/>
      <c r="H230" s="164" t="n"/>
      <c r="I230" s="166" t="n"/>
      <c r="J230" s="166" t="n"/>
      <c r="K230" s="166" t="n"/>
      <c r="L230" s="168" t="n"/>
      <c r="M230" s="167">
        <f>H230*I230+J230+K230</f>
        <v/>
      </c>
      <c r="N230" s="167">
        <f>M230*L230</f>
        <v/>
      </c>
      <c r="O230" s="167">
        <f>M230+N230</f>
        <v/>
      </c>
      <c r="P230" s="164" t="n"/>
    </row>
    <row r="231">
      <c r="A231" s="173" t="n"/>
      <c r="B231" s="164" t="n"/>
      <c r="C231" s="164" t="n"/>
      <c r="D231" s="164" t="n"/>
      <c r="E231" s="164" t="n"/>
      <c r="F231" s="164" t="n"/>
      <c r="G231" s="164" t="n"/>
      <c r="H231" s="164" t="n"/>
      <c r="I231" s="166" t="n"/>
      <c r="J231" s="166" t="n"/>
      <c r="K231" s="166" t="n"/>
      <c r="L231" s="168" t="n"/>
      <c r="M231" s="167">
        <f>H231*I231+J231+K231</f>
        <v/>
      </c>
      <c r="N231" s="167">
        <f>M231*L231</f>
        <v/>
      </c>
      <c r="O231" s="167">
        <f>M231+N231</f>
        <v/>
      </c>
      <c r="P231" s="164" t="n"/>
    </row>
    <row r="232">
      <c r="A232" s="173" t="n"/>
      <c r="B232" s="164" t="n"/>
      <c r="C232" s="164" t="n"/>
      <c r="D232" s="164" t="n"/>
      <c r="E232" s="164" t="n"/>
      <c r="F232" s="164" t="n"/>
      <c r="G232" s="164" t="n"/>
      <c r="H232" s="164" t="n"/>
      <c r="I232" s="166" t="n"/>
      <c r="J232" s="166" t="n"/>
      <c r="K232" s="166" t="n"/>
      <c r="L232" s="168" t="n"/>
      <c r="M232" s="167">
        <f>H232*I232+J232+K232</f>
        <v/>
      </c>
      <c r="N232" s="167">
        <f>M232*L232</f>
        <v/>
      </c>
      <c r="O232" s="167">
        <f>M232+N232</f>
        <v/>
      </c>
      <c r="P232" s="164" t="n"/>
    </row>
    <row r="233">
      <c r="A233" s="173" t="n"/>
      <c r="B233" s="164" t="n"/>
      <c r="C233" s="164" t="n"/>
      <c r="D233" s="164" t="n"/>
      <c r="E233" s="164" t="n"/>
      <c r="F233" s="164" t="n"/>
      <c r="G233" s="164" t="n"/>
      <c r="H233" s="164" t="n"/>
      <c r="I233" s="166" t="n"/>
      <c r="J233" s="166" t="n"/>
      <c r="K233" s="166" t="n"/>
      <c r="L233" s="168" t="n"/>
      <c r="M233" s="167">
        <f>H233*I233+J233+K233</f>
        <v/>
      </c>
      <c r="N233" s="167">
        <f>M233*L233</f>
        <v/>
      </c>
      <c r="O233" s="167">
        <f>M233+N233</f>
        <v/>
      </c>
      <c r="P233" s="164" t="n"/>
    </row>
    <row r="234">
      <c r="A234" s="173" t="n"/>
      <c r="B234" s="164" t="n"/>
      <c r="C234" s="164" t="n"/>
      <c r="D234" s="164" t="n"/>
      <c r="E234" s="164" t="n"/>
      <c r="F234" s="164" t="n"/>
      <c r="G234" s="164" t="n"/>
      <c r="H234" s="164" t="n"/>
      <c r="I234" s="166" t="n"/>
      <c r="J234" s="166" t="n"/>
      <c r="K234" s="166" t="n"/>
      <c r="L234" s="168" t="n"/>
      <c r="M234" s="167">
        <f>H234*I234+J234+K234</f>
        <v/>
      </c>
      <c r="N234" s="167">
        <f>M234*L234</f>
        <v/>
      </c>
      <c r="O234" s="167">
        <f>M234+N234</f>
        <v/>
      </c>
      <c r="P234" s="164" t="n"/>
    </row>
    <row r="235">
      <c r="A235" s="173" t="n"/>
      <c r="B235" s="164" t="n"/>
      <c r="C235" s="164" t="n"/>
      <c r="D235" s="164" t="n"/>
      <c r="E235" s="164" t="n"/>
      <c r="F235" s="164" t="n"/>
      <c r="G235" s="164" t="n"/>
      <c r="H235" s="164" t="n"/>
      <c r="I235" s="166" t="n"/>
      <c r="J235" s="166" t="n"/>
      <c r="K235" s="166" t="n"/>
      <c r="L235" s="168" t="n"/>
      <c r="M235" s="167">
        <f>H235*I235+J235+K235</f>
        <v/>
      </c>
      <c r="N235" s="167">
        <f>M235*L235</f>
        <v/>
      </c>
      <c r="O235" s="167">
        <f>M235+N235</f>
        <v/>
      </c>
      <c r="P235" s="164" t="n"/>
    </row>
    <row r="236">
      <c r="A236" s="173" t="n"/>
      <c r="B236" s="164" t="n"/>
      <c r="C236" s="164" t="n"/>
      <c r="D236" s="164" t="n"/>
      <c r="E236" s="164" t="n"/>
      <c r="F236" s="164" t="n"/>
      <c r="G236" s="164" t="n"/>
      <c r="H236" s="164" t="n"/>
      <c r="I236" s="166" t="n"/>
      <c r="J236" s="166" t="n"/>
      <c r="K236" s="166" t="n"/>
      <c r="L236" s="168" t="n"/>
      <c r="M236" s="167">
        <f>H236*I236+J236+K236</f>
        <v/>
      </c>
      <c r="N236" s="167">
        <f>M236*L236</f>
        <v/>
      </c>
      <c r="O236" s="167">
        <f>M236+N236</f>
        <v/>
      </c>
      <c r="P236" s="164" t="n"/>
    </row>
    <row r="237">
      <c r="A237" s="173" t="n"/>
      <c r="B237" s="164" t="n"/>
      <c r="C237" s="164" t="n"/>
      <c r="D237" s="164" t="n"/>
      <c r="E237" s="164" t="n"/>
      <c r="F237" s="164" t="n"/>
      <c r="G237" s="164" t="n"/>
      <c r="H237" s="164" t="n"/>
      <c r="I237" s="166" t="n"/>
      <c r="J237" s="166" t="n"/>
      <c r="K237" s="166" t="n"/>
      <c r="L237" s="168" t="n"/>
      <c r="M237" s="167">
        <f>H237*I237+J237+K237</f>
        <v/>
      </c>
      <c r="N237" s="167">
        <f>M237*L237</f>
        <v/>
      </c>
      <c r="O237" s="167">
        <f>M237+N237</f>
        <v/>
      </c>
      <c r="P237" s="164" t="n"/>
    </row>
    <row r="238">
      <c r="A238" s="173" t="n"/>
      <c r="B238" s="164" t="n"/>
      <c r="C238" s="164" t="n"/>
      <c r="D238" s="164" t="n"/>
      <c r="E238" s="164" t="n"/>
      <c r="F238" s="164" t="n"/>
      <c r="G238" s="164" t="n"/>
      <c r="H238" s="164" t="n"/>
      <c r="I238" s="166" t="n"/>
      <c r="J238" s="166" t="n"/>
      <c r="K238" s="166" t="n"/>
      <c r="L238" s="168" t="n"/>
      <c r="M238" s="167">
        <f>H238*I238+J238+K238</f>
        <v/>
      </c>
      <c r="N238" s="167">
        <f>M238*L238</f>
        <v/>
      </c>
      <c r="O238" s="167">
        <f>M238+N238</f>
        <v/>
      </c>
      <c r="P238" s="164" t="n"/>
    </row>
    <row r="239">
      <c r="A239" s="173" t="n"/>
      <c r="B239" s="164" t="n"/>
      <c r="C239" s="164" t="n"/>
      <c r="D239" s="164" t="n"/>
      <c r="E239" s="164" t="n"/>
      <c r="F239" s="164" t="n"/>
      <c r="G239" s="164" t="n"/>
      <c r="H239" s="164" t="n"/>
      <c r="I239" s="166" t="n"/>
      <c r="J239" s="166" t="n"/>
      <c r="K239" s="166" t="n"/>
      <c r="L239" s="168" t="n"/>
      <c r="M239" s="167">
        <f>H239*I239+J239+K239</f>
        <v/>
      </c>
      <c r="N239" s="167">
        <f>M239*L239</f>
        <v/>
      </c>
      <c r="O239" s="167">
        <f>M239+N239</f>
        <v/>
      </c>
      <c r="P239" s="164" t="n"/>
    </row>
    <row r="240">
      <c r="A240" s="173" t="n"/>
      <c r="B240" s="164" t="n"/>
      <c r="C240" s="164" t="n"/>
      <c r="D240" s="164" t="n"/>
      <c r="E240" s="164" t="n"/>
      <c r="F240" s="164" t="n"/>
      <c r="G240" s="164" t="n"/>
      <c r="H240" s="164" t="n"/>
      <c r="I240" s="166" t="n"/>
      <c r="J240" s="166" t="n"/>
      <c r="K240" s="166" t="n"/>
      <c r="L240" s="168" t="n"/>
      <c r="M240" s="167">
        <f>H240*I240+J240+K240</f>
        <v/>
      </c>
      <c r="N240" s="167">
        <f>M240*L240</f>
        <v/>
      </c>
      <c r="O240" s="167">
        <f>M240+N240</f>
        <v/>
      </c>
      <c r="P240" s="164" t="n"/>
    </row>
    <row r="241">
      <c r="A241" s="173" t="n"/>
      <c r="B241" s="164" t="n"/>
      <c r="C241" s="164" t="n"/>
      <c r="D241" s="164" t="n"/>
      <c r="E241" s="164" t="n"/>
      <c r="F241" s="164" t="n"/>
      <c r="G241" s="164" t="n"/>
      <c r="H241" s="164" t="n"/>
      <c r="I241" s="166" t="n"/>
      <c r="J241" s="166" t="n"/>
      <c r="K241" s="166" t="n"/>
      <c r="L241" s="168" t="n"/>
      <c r="M241" s="167">
        <f>H241*I241+J241+K241</f>
        <v/>
      </c>
      <c r="N241" s="167">
        <f>M241*L241</f>
        <v/>
      </c>
      <c r="O241" s="167">
        <f>M241+N241</f>
        <v/>
      </c>
      <c r="P241" s="164" t="n"/>
    </row>
    <row r="242">
      <c r="A242" s="173" t="n"/>
      <c r="B242" s="164" t="n"/>
      <c r="C242" s="164" t="n"/>
      <c r="D242" s="164" t="n"/>
      <c r="E242" s="164" t="n"/>
      <c r="F242" s="164" t="n"/>
      <c r="G242" s="164" t="n"/>
      <c r="H242" s="164" t="n"/>
      <c r="I242" s="166" t="n"/>
      <c r="J242" s="166" t="n"/>
      <c r="K242" s="166" t="n"/>
      <c r="L242" s="168" t="n"/>
      <c r="M242" s="167">
        <f>H242*I242+J242+K242</f>
        <v/>
      </c>
      <c r="N242" s="167">
        <f>M242*L242</f>
        <v/>
      </c>
      <c r="O242" s="167">
        <f>M242+N242</f>
        <v/>
      </c>
      <c r="P242" s="164" t="n"/>
    </row>
    <row r="243">
      <c r="A243" s="173" t="n"/>
      <c r="B243" s="164" t="n"/>
      <c r="C243" s="164" t="n"/>
      <c r="D243" s="164" t="n"/>
      <c r="E243" s="164" t="n"/>
      <c r="F243" s="164" t="n"/>
      <c r="G243" s="164" t="n"/>
      <c r="H243" s="164" t="n"/>
      <c r="I243" s="166" t="n"/>
      <c r="J243" s="166" t="n"/>
      <c r="K243" s="166" t="n"/>
      <c r="L243" s="168" t="n"/>
      <c r="M243" s="167">
        <f>H243*I243+J243+K243</f>
        <v/>
      </c>
      <c r="N243" s="167">
        <f>M243*L243</f>
        <v/>
      </c>
      <c r="O243" s="167">
        <f>M243+N243</f>
        <v/>
      </c>
      <c r="P243" s="164" t="n"/>
    </row>
    <row r="244">
      <c r="A244" s="173" t="n"/>
      <c r="B244" s="164" t="n"/>
      <c r="C244" s="164" t="n"/>
      <c r="D244" s="164" t="n"/>
      <c r="E244" s="164" t="n"/>
      <c r="F244" s="164" t="n"/>
      <c r="G244" s="164" t="n"/>
      <c r="H244" s="164" t="n"/>
      <c r="I244" s="166" t="n"/>
      <c r="J244" s="166" t="n"/>
      <c r="K244" s="166" t="n"/>
      <c r="L244" s="168" t="n"/>
      <c r="M244" s="167">
        <f>H244*I244+J244+K244</f>
        <v/>
      </c>
      <c r="N244" s="167">
        <f>M244*L244</f>
        <v/>
      </c>
      <c r="O244" s="167">
        <f>M244+N244</f>
        <v/>
      </c>
      <c r="P244" s="164" t="n"/>
    </row>
    <row r="245">
      <c r="A245" s="173" t="n"/>
      <c r="B245" s="164" t="n"/>
      <c r="C245" s="164" t="n"/>
      <c r="D245" s="164" t="n"/>
      <c r="E245" s="164" t="n"/>
      <c r="F245" s="164" t="n"/>
      <c r="G245" s="164" t="n"/>
      <c r="H245" s="164" t="n"/>
      <c r="I245" s="166" t="n"/>
      <c r="J245" s="166" t="n"/>
      <c r="K245" s="166" t="n"/>
      <c r="L245" s="168" t="n"/>
      <c r="M245" s="167">
        <f>H245*I245+J245+K245</f>
        <v/>
      </c>
      <c r="N245" s="167">
        <f>M245*L245</f>
        <v/>
      </c>
      <c r="O245" s="167">
        <f>M245+N245</f>
        <v/>
      </c>
      <c r="P245" s="164" t="n"/>
    </row>
    <row r="246">
      <c r="A246" s="173" t="n"/>
      <c r="B246" s="164" t="n"/>
      <c r="C246" s="164" t="n"/>
      <c r="D246" s="164" t="n"/>
      <c r="E246" s="164" t="n"/>
      <c r="F246" s="164" t="n"/>
      <c r="G246" s="164" t="n"/>
      <c r="H246" s="164" t="n"/>
      <c r="I246" s="166" t="n"/>
      <c r="J246" s="166" t="n"/>
      <c r="K246" s="166" t="n"/>
      <c r="L246" s="168" t="n"/>
      <c r="M246" s="167">
        <f>H246*I246+J246+K246</f>
        <v/>
      </c>
      <c r="N246" s="167">
        <f>M246*L246</f>
        <v/>
      </c>
      <c r="O246" s="167">
        <f>M246+N246</f>
        <v/>
      </c>
      <c r="P246" s="164" t="n"/>
    </row>
    <row r="247">
      <c r="A247" s="173" t="n"/>
      <c r="B247" s="164" t="n"/>
      <c r="C247" s="164" t="n"/>
      <c r="D247" s="164" t="n"/>
      <c r="E247" s="164" t="n"/>
      <c r="F247" s="164" t="n"/>
      <c r="G247" s="164" t="n"/>
      <c r="H247" s="164" t="n"/>
      <c r="I247" s="166" t="n"/>
      <c r="J247" s="166" t="n"/>
      <c r="K247" s="166" t="n"/>
      <c r="L247" s="168" t="n"/>
      <c r="M247" s="167">
        <f>H247*I247+J247+K247</f>
        <v/>
      </c>
      <c r="N247" s="167">
        <f>M247*L247</f>
        <v/>
      </c>
      <c r="O247" s="167">
        <f>M247+N247</f>
        <v/>
      </c>
      <c r="P247" s="164" t="n"/>
    </row>
    <row r="248">
      <c r="A248" s="173" t="n"/>
      <c r="B248" s="164" t="n"/>
      <c r="C248" s="164" t="n"/>
      <c r="D248" s="164" t="n"/>
      <c r="E248" s="164" t="n"/>
      <c r="F248" s="164" t="n"/>
      <c r="G248" s="164" t="n"/>
      <c r="H248" s="164" t="n"/>
      <c r="I248" s="166" t="n"/>
      <c r="J248" s="166" t="n"/>
      <c r="K248" s="166" t="n"/>
      <c r="L248" s="168" t="n"/>
      <c r="M248" s="167">
        <f>H248*I248+J248+K248</f>
        <v/>
      </c>
      <c r="N248" s="167">
        <f>M248*L248</f>
        <v/>
      </c>
      <c r="O248" s="167">
        <f>M248+N248</f>
        <v/>
      </c>
      <c r="P248" s="164" t="n"/>
    </row>
    <row r="249">
      <c r="A249" s="173" t="n"/>
      <c r="B249" s="164" t="n"/>
      <c r="C249" s="164" t="n"/>
      <c r="D249" s="164" t="n"/>
      <c r="E249" s="164" t="n"/>
      <c r="F249" s="164" t="n"/>
      <c r="G249" s="164" t="n"/>
      <c r="H249" s="164" t="n"/>
      <c r="I249" s="166" t="n"/>
      <c r="J249" s="166" t="n"/>
      <c r="K249" s="166" t="n"/>
      <c r="L249" s="168" t="n"/>
      <c r="M249" s="167">
        <f>H249*I249+J249+K249</f>
        <v/>
      </c>
      <c r="N249" s="167">
        <f>M249*L249</f>
        <v/>
      </c>
      <c r="O249" s="167">
        <f>M249+N249</f>
        <v/>
      </c>
      <c r="P249" s="164" t="n"/>
    </row>
    <row r="250">
      <c r="A250" s="173" t="n"/>
      <c r="B250" s="164" t="n"/>
      <c r="C250" s="164" t="n"/>
      <c r="D250" s="164" t="n"/>
      <c r="E250" s="164" t="n"/>
      <c r="F250" s="164" t="n"/>
      <c r="G250" s="164" t="n"/>
      <c r="H250" s="164" t="n"/>
      <c r="I250" s="166" t="n"/>
      <c r="J250" s="166" t="n"/>
      <c r="K250" s="166" t="n"/>
      <c r="L250" s="168" t="n"/>
      <c r="M250" s="167">
        <f>H250*I250+J250+K250</f>
        <v/>
      </c>
      <c r="N250" s="167">
        <f>M250*L250</f>
        <v/>
      </c>
      <c r="O250" s="167">
        <f>M250+N250</f>
        <v/>
      </c>
      <c r="P250" s="164" t="n"/>
    </row>
    <row r="251">
      <c r="A251" s="173" t="n"/>
      <c r="B251" s="164" t="n"/>
      <c r="C251" s="164" t="n"/>
      <c r="D251" s="164" t="n"/>
      <c r="E251" s="164" t="n"/>
      <c r="F251" s="164" t="n"/>
      <c r="G251" s="164" t="n"/>
      <c r="H251" s="164" t="n"/>
      <c r="I251" s="166" t="n"/>
      <c r="J251" s="166" t="n"/>
      <c r="K251" s="166" t="n"/>
      <c r="L251" s="168" t="n"/>
      <c r="M251" s="167">
        <f>H251*I251+J251+K251</f>
        <v/>
      </c>
      <c r="N251" s="167">
        <f>M251*L251</f>
        <v/>
      </c>
      <c r="O251" s="167">
        <f>M251+N251</f>
        <v/>
      </c>
      <c r="P251" s="164" t="n"/>
    </row>
    <row r="252">
      <c r="A252" s="173" t="n"/>
      <c r="B252" s="164" t="n"/>
      <c r="C252" s="164" t="n"/>
      <c r="D252" s="164" t="n"/>
      <c r="E252" s="164" t="n"/>
      <c r="F252" s="164" t="n"/>
      <c r="G252" s="164" t="n"/>
      <c r="H252" s="164" t="n"/>
      <c r="I252" s="166" t="n"/>
      <c r="J252" s="166" t="n"/>
      <c r="K252" s="166" t="n"/>
      <c r="L252" s="168" t="n"/>
      <c r="M252" s="167">
        <f>H252*I252+J252+K252</f>
        <v/>
      </c>
      <c r="N252" s="167">
        <f>M252*L252</f>
        <v/>
      </c>
      <c r="O252" s="167">
        <f>M252+N252</f>
        <v/>
      </c>
      <c r="P252" s="164" t="n"/>
    </row>
    <row r="253">
      <c r="A253" s="173" t="n"/>
      <c r="B253" s="164" t="n"/>
      <c r="C253" s="164" t="n"/>
      <c r="D253" s="164" t="n"/>
      <c r="E253" s="164" t="n"/>
      <c r="F253" s="164" t="n"/>
      <c r="G253" s="164" t="n"/>
      <c r="H253" s="164" t="n"/>
      <c r="I253" s="166" t="n"/>
      <c r="J253" s="166" t="n"/>
      <c r="K253" s="166" t="n"/>
      <c r="L253" s="168" t="n"/>
      <c r="M253" s="167">
        <f>H253*I253+J253+K253</f>
        <v/>
      </c>
      <c r="N253" s="167">
        <f>M253*L253</f>
        <v/>
      </c>
      <c r="O253" s="167">
        <f>M253+N253</f>
        <v/>
      </c>
      <c r="P253" s="164" t="n"/>
    </row>
    <row r="254">
      <c r="A254" s="173" t="n"/>
      <c r="B254" s="164" t="n"/>
      <c r="C254" s="164" t="n"/>
      <c r="D254" s="164" t="n"/>
      <c r="E254" s="164" t="n"/>
      <c r="F254" s="164" t="n"/>
      <c r="G254" s="164" t="n"/>
      <c r="H254" s="164" t="n"/>
      <c r="I254" s="166" t="n"/>
      <c r="J254" s="166" t="n"/>
      <c r="K254" s="166" t="n"/>
      <c r="L254" s="168" t="n"/>
      <c r="M254" s="167">
        <f>H254*I254+J254+K254</f>
        <v/>
      </c>
      <c r="N254" s="167">
        <f>M254*L254</f>
        <v/>
      </c>
      <c r="O254" s="167">
        <f>M254+N254</f>
        <v/>
      </c>
      <c r="P254" s="164" t="n"/>
    </row>
    <row r="255">
      <c r="A255" s="173" t="n"/>
      <c r="B255" s="164" t="n"/>
      <c r="C255" s="164" t="n"/>
      <c r="D255" s="164" t="n"/>
      <c r="E255" s="164" t="n"/>
      <c r="F255" s="164" t="n"/>
      <c r="G255" s="164" t="n"/>
      <c r="H255" s="164" t="n"/>
      <c r="I255" s="166" t="n"/>
      <c r="J255" s="166" t="n"/>
      <c r="K255" s="166" t="n"/>
      <c r="L255" s="168" t="n"/>
      <c r="M255" s="167">
        <f>H255*I255+J255+K255</f>
        <v/>
      </c>
      <c r="N255" s="167">
        <f>M255*L255</f>
        <v/>
      </c>
      <c r="O255" s="167">
        <f>M255+N255</f>
        <v/>
      </c>
      <c r="P255" s="164" t="n"/>
    </row>
    <row r="256">
      <c r="A256" s="173" t="n"/>
      <c r="B256" s="164" t="n"/>
      <c r="C256" s="164" t="n"/>
      <c r="D256" s="164" t="n"/>
      <c r="E256" s="164" t="n"/>
      <c r="F256" s="164" t="n"/>
      <c r="G256" s="164" t="n"/>
      <c r="H256" s="164" t="n"/>
      <c r="I256" s="166" t="n"/>
      <c r="J256" s="166" t="n"/>
      <c r="K256" s="166" t="n"/>
      <c r="L256" s="168" t="n"/>
      <c r="M256" s="167">
        <f>H256*I256+J256+K256</f>
        <v/>
      </c>
      <c r="N256" s="167">
        <f>M256*L256</f>
        <v/>
      </c>
      <c r="O256" s="167">
        <f>M256+N256</f>
        <v/>
      </c>
      <c r="P256" s="164" t="n"/>
    </row>
    <row r="257">
      <c r="A257" s="173" t="n"/>
      <c r="B257" s="164" t="n"/>
      <c r="C257" s="164" t="n"/>
      <c r="D257" s="164" t="n"/>
      <c r="E257" s="164" t="n"/>
      <c r="F257" s="164" t="n"/>
      <c r="G257" s="164" t="n"/>
      <c r="H257" s="164" t="n"/>
      <c r="I257" s="166" t="n"/>
      <c r="J257" s="166" t="n"/>
      <c r="K257" s="166" t="n"/>
      <c r="L257" s="168" t="n"/>
      <c r="M257" s="167">
        <f>H257*I257+J257+K257</f>
        <v/>
      </c>
      <c r="N257" s="167">
        <f>M257*L257</f>
        <v/>
      </c>
      <c r="O257" s="167">
        <f>M257+N257</f>
        <v/>
      </c>
      <c r="P257" s="164" t="n"/>
    </row>
    <row r="258">
      <c r="A258" s="173" t="n"/>
      <c r="B258" s="164" t="n"/>
      <c r="C258" s="164" t="n"/>
      <c r="D258" s="164" t="n"/>
      <c r="E258" s="164" t="n"/>
      <c r="F258" s="164" t="n"/>
      <c r="G258" s="164" t="n"/>
      <c r="H258" s="164" t="n"/>
      <c r="I258" s="166" t="n"/>
      <c r="J258" s="166" t="n"/>
      <c r="K258" s="166" t="n"/>
      <c r="L258" s="168" t="n"/>
      <c r="M258" s="167">
        <f>H258*I258+J258+K258</f>
        <v/>
      </c>
      <c r="N258" s="167">
        <f>M258*L258</f>
        <v/>
      </c>
      <c r="O258" s="167">
        <f>M258+N258</f>
        <v/>
      </c>
      <c r="P258" s="164" t="n"/>
    </row>
    <row r="259">
      <c r="A259" s="173" t="n"/>
      <c r="B259" s="164" t="n"/>
      <c r="C259" s="164" t="n"/>
      <c r="D259" s="164" t="n"/>
      <c r="E259" s="164" t="n"/>
      <c r="F259" s="164" t="n"/>
      <c r="G259" s="164" t="n"/>
      <c r="H259" s="164" t="n"/>
      <c r="I259" s="166" t="n"/>
      <c r="J259" s="166" t="n"/>
      <c r="K259" s="166" t="n"/>
      <c r="L259" s="168" t="n"/>
      <c r="M259" s="167">
        <f>H259*I259+J259+K259</f>
        <v/>
      </c>
      <c r="N259" s="167">
        <f>M259*L259</f>
        <v/>
      </c>
      <c r="O259" s="167">
        <f>M259+N259</f>
        <v/>
      </c>
      <c r="P259" s="164" t="n"/>
    </row>
    <row r="260">
      <c r="A260" s="173" t="n"/>
      <c r="B260" s="164" t="n"/>
      <c r="C260" s="164" t="n"/>
      <c r="D260" s="164" t="n"/>
      <c r="E260" s="164" t="n"/>
      <c r="F260" s="164" t="n"/>
      <c r="G260" s="164" t="n"/>
      <c r="H260" s="164" t="n"/>
      <c r="I260" s="166" t="n"/>
      <c r="J260" s="166" t="n"/>
      <c r="K260" s="166" t="n"/>
      <c r="L260" s="168" t="n"/>
      <c r="M260" s="167">
        <f>H260*I260+J260+K260</f>
        <v/>
      </c>
      <c r="N260" s="167">
        <f>M260*L260</f>
        <v/>
      </c>
      <c r="O260" s="167">
        <f>M260+N260</f>
        <v/>
      </c>
      <c r="P260" s="164" t="n"/>
    </row>
    <row r="261">
      <c r="A261" s="173" t="n"/>
      <c r="B261" s="164" t="n"/>
      <c r="C261" s="164" t="n"/>
      <c r="D261" s="164" t="n"/>
      <c r="E261" s="164" t="n"/>
      <c r="F261" s="164" t="n"/>
      <c r="G261" s="164" t="n"/>
      <c r="H261" s="164" t="n"/>
      <c r="I261" s="166" t="n"/>
      <c r="J261" s="166" t="n"/>
      <c r="K261" s="166" t="n"/>
      <c r="L261" s="168" t="n"/>
      <c r="M261" s="167">
        <f>H261*I261+J261+K261</f>
        <v/>
      </c>
      <c r="N261" s="167">
        <f>M261*L261</f>
        <v/>
      </c>
      <c r="O261" s="167">
        <f>M261+N261</f>
        <v/>
      </c>
      <c r="P261" s="164" t="n"/>
    </row>
    <row r="262">
      <c r="A262" s="173" t="n"/>
      <c r="B262" s="164" t="n"/>
      <c r="C262" s="164" t="n"/>
      <c r="D262" s="164" t="n"/>
      <c r="E262" s="164" t="n"/>
      <c r="F262" s="164" t="n"/>
      <c r="G262" s="164" t="n"/>
      <c r="H262" s="164" t="n"/>
      <c r="I262" s="166" t="n"/>
      <c r="J262" s="166" t="n"/>
      <c r="K262" s="166" t="n"/>
      <c r="L262" s="168" t="n"/>
      <c r="M262" s="167">
        <f>H262*I262+J262+K262</f>
        <v/>
      </c>
      <c r="N262" s="167">
        <f>M262*L262</f>
        <v/>
      </c>
      <c r="O262" s="167">
        <f>M262+N262</f>
        <v/>
      </c>
      <c r="P262" s="164" t="n"/>
    </row>
    <row r="263">
      <c r="A263" s="173" t="n"/>
      <c r="B263" s="164" t="n"/>
      <c r="C263" s="164" t="n"/>
      <c r="D263" s="164" t="n"/>
      <c r="E263" s="164" t="n"/>
      <c r="F263" s="164" t="n"/>
      <c r="G263" s="164" t="n"/>
      <c r="H263" s="164" t="n"/>
      <c r="I263" s="166" t="n"/>
      <c r="J263" s="166" t="n"/>
      <c r="K263" s="166" t="n"/>
      <c r="L263" s="168" t="n"/>
      <c r="M263" s="167">
        <f>H263*I263+J263+K263</f>
        <v/>
      </c>
      <c r="N263" s="167">
        <f>M263*L263</f>
        <v/>
      </c>
      <c r="O263" s="167">
        <f>M263+N263</f>
        <v/>
      </c>
      <c r="P263" s="164" t="n"/>
    </row>
    <row r="264">
      <c r="A264" s="173" t="n"/>
      <c r="B264" s="164" t="n"/>
      <c r="C264" s="164" t="n"/>
      <c r="D264" s="164" t="n"/>
      <c r="E264" s="164" t="n"/>
      <c r="F264" s="164" t="n"/>
      <c r="G264" s="164" t="n"/>
      <c r="H264" s="164" t="n"/>
      <c r="I264" s="166" t="n"/>
      <c r="J264" s="166" t="n"/>
      <c r="K264" s="166" t="n"/>
      <c r="L264" s="168" t="n"/>
      <c r="M264" s="167">
        <f>H264*I264+J264+K264</f>
        <v/>
      </c>
      <c r="N264" s="167">
        <f>M264*L264</f>
        <v/>
      </c>
      <c r="O264" s="167">
        <f>M264+N264</f>
        <v/>
      </c>
      <c r="P264" s="164" t="n"/>
    </row>
    <row r="265">
      <c r="A265" s="173" t="n"/>
      <c r="B265" s="164" t="n"/>
      <c r="C265" s="164" t="n"/>
      <c r="D265" s="164" t="n"/>
      <c r="E265" s="164" t="n"/>
      <c r="F265" s="164" t="n"/>
      <c r="G265" s="164" t="n"/>
      <c r="H265" s="164" t="n"/>
      <c r="I265" s="166" t="n"/>
      <c r="J265" s="166" t="n"/>
      <c r="K265" s="166" t="n"/>
      <c r="L265" s="168" t="n"/>
      <c r="M265" s="167">
        <f>H265*I265+J265+K265</f>
        <v/>
      </c>
      <c r="N265" s="167">
        <f>M265*L265</f>
        <v/>
      </c>
      <c r="O265" s="167">
        <f>M265+N265</f>
        <v/>
      </c>
      <c r="P265" s="164" t="n"/>
    </row>
    <row r="266">
      <c r="A266" s="173" t="n"/>
      <c r="B266" s="164" t="n"/>
      <c r="C266" s="164" t="n"/>
      <c r="D266" s="164" t="n"/>
      <c r="E266" s="164" t="n"/>
      <c r="F266" s="164" t="n"/>
      <c r="G266" s="164" t="n"/>
      <c r="H266" s="164" t="n"/>
      <c r="I266" s="166" t="n"/>
      <c r="J266" s="166" t="n"/>
      <c r="K266" s="166" t="n"/>
      <c r="L266" s="168" t="n"/>
      <c r="M266" s="167">
        <f>H266*I266+J266+K266</f>
        <v/>
      </c>
      <c r="N266" s="167">
        <f>M266*L266</f>
        <v/>
      </c>
      <c r="O266" s="167">
        <f>M266+N266</f>
        <v/>
      </c>
      <c r="P266" s="164" t="n"/>
    </row>
    <row r="267">
      <c r="A267" s="173" t="n"/>
      <c r="B267" s="164" t="n"/>
      <c r="C267" s="164" t="n"/>
      <c r="D267" s="164" t="n"/>
      <c r="E267" s="164" t="n"/>
      <c r="F267" s="164" t="n"/>
      <c r="G267" s="164" t="n"/>
      <c r="H267" s="164" t="n"/>
      <c r="I267" s="166" t="n"/>
      <c r="J267" s="166" t="n"/>
      <c r="K267" s="166" t="n"/>
      <c r="L267" s="168" t="n"/>
      <c r="M267" s="167">
        <f>H267*I267+J267+K267</f>
        <v/>
      </c>
      <c r="N267" s="167">
        <f>M267*L267</f>
        <v/>
      </c>
      <c r="O267" s="167">
        <f>M267+N267</f>
        <v/>
      </c>
      <c r="P267" s="164" t="n"/>
    </row>
    <row r="268">
      <c r="A268" s="173" t="n"/>
      <c r="B268" s="164" t="n"/>
      <c r="C268" s="164" t="n"/>
      <c r="D268" s="164" t="n"/>
      <c r="E268" s="164" t="n"/>
      <c r="F268" s="164" t="n"/>
      <c r="G268" s="164" t="n"/>
      <c r="H268" s="164" t="n"/>
      <c r="I268" s="166" t="n"/>
      <c r="J268" s="166" t="n"/>
      <c r="K268" s="166" t="n"/>
      <c r="L268" s="168" t="n"/>
      <c r="M268" s="167">
        <f>H268*I268+J268+K268</f>
        <v/>
      </c>
      <c r="N268" s="167">
        <f>M268*L268</f>
        <v/>
      </c>
      <c r="O268" s="167">
        <f>M268+N268</f>
        <v/>
      </c>
      <c r="P268" s="164" t="n"/>
    </row>
    <row r="269">
      <c r="A269" s="173" t="n"/>
      <c r="B269" s="164" t="n"/>
      <c r="C269" s="164" t="n"/>
      <c r="D269" s="164" t="n"/>
      <c r="E269" s="164" t="n"/>
      <c r="F269" s="164" t="n"/>
      <c r="G269" s="164" t="n"/>
      <c r="H269" s="164" t="n"/>
      <c r="I269" s="166" t="n"/>
      <c r="J269" s="166" t="n"/>
      <c r="K269" s="166" t="n"/>
      <c r="L269" s="168" t="n"/>
      <c r="M269" s="167">
        <f>H269*I269+J269+K269</f>
        <v/>
      </c>
      <c r="N269" s="167">
        <f>M269*L269</f>
        <v/>
      </c>
      <c r="O269" s="167">
        <f>M269+N269</f>
        <v/>
      </c>
      <c r="P269" s="164" t="n"/>
    </row>
    <row r="270">
      <c r="A270" s="173" t="n"/>
      <c r="B270" s="164" t="n"/>
      <c r="C270" s="164" t="n"/>
      <c r="D270" s="164" t="n"/>
      <c r="E270" s="164" t="n"/>
      <c r="F270" s="164" t="n"/>
      <c r="G270" s="164" t="n"/>
      <c r="H270" s="164" t="n"/>
      <c r="I270" s="166" t="n"/>
      <c r="J270" s="166" t="n"/>
      <c r="K270" s="166" t="n"/>
      <c r="L270" s="168" t="n"/>
      <c r="M270" s="167">
        <f>H270*I270+J270+K270</f>
        <v/>
      </c>
      <c r="N270" s="167">
        <f>M270*L270</f>
        <v/>
      </c>
      <c r="O270" s="167">
        <f>M270+N270</f>
        <v/>
      </c>
      <c r="P270" s="164" t="n"/>
    </row>
    <row r="271">
      <c r="A271" s="173" t="n"/>
      <c r="B271" s="164" t="n"/>
      <c r="C271" s="164" t="n"/>
      <c r="D271" s="164" t="n"/>
      <c r="E271" s="164" t="n"/>
      <c r="F271" s="164" t="n"/>
      <c r="G271" s="164" t="n"/>
      <c r="H271" s="164" t="n"/>
      <c r="I271" s="166" t="n"/>
      <c r="J271" s="166" t="n"/>
      <c r="K271" s="166" t="n"/>
      <c r="L271" s="168" t="n"/>
      <c r="M271" s="167">
        <f>H271*I271+J271+K271</f>
        <v/>
      </c>
      <c r="N271" s="167">
        <f>M271*L271</f>
        <v/>
      </c>
      <c r="O271" s="167">
        <f>M271+N271</f>
        <v/>
      </c>
      <c r="P271" s="164" t="n"/>
    </row>
    <row r="272">
      <c r="A272" s="173" t="n"/>
      <c r="B272" s="164" t="n"/>
      <c r="C272" s="164" t="n"/>
      <c r="D272" s="164" t="n"/>
      <c r="E272" s="164" t="n"/>
      <c r="F272" s="164" t="n"/>
      <c r="G272" s="164" t="n"/>
      <c r="H272" s="164" t="n"/>
      <c r="I272" s="166" t="n"/>
      <c r="J272" s="166" t="n"/>
      <c r="K272" s="166" t="n"/>
      <c r="L272" s="168" t="n"/>
      <c r="M272" s="167">
        <f>H272*I272+J272+K272</f>
        <v/>
      </c>
      <c r="N272" s="167">
        <f>M272*L272</f>
        <v/>
      </c>
      <c r="O272" s="167">
        <f>M272+N272</f>
        <v/>
      </c>
      <c r="P272" s="164" t="n"/>
    </row>
    <row r="273">
      <c r="A273" s="173" t="n"/>
      <c r="B273" s="164" t="n"/>
      <c r="C273" s="164" t="n"/>
      <c r="D273" s="164" t="n"/>
      <c r="E273" s="164" t="n"/>
      <c r="F273" s="164" t="n"/>
      <c r="G273" s="164" t="n"/>
      <c r="H273" s="164" t="n"/>
      <c r="I273" s="166" t="n"/>
      <c r="J273" s="166" t="n"/>
      <c r="K273" s="166" t="n"/>
      <c r="L273" s="168" t="n"/>
      <c r="M273" s="167">
        <f>H273*I273+J273+K273</f>
        <v/>
      </c>
      <c r="N273" s="167">
        <f>M273*L273</f>
        <v/>
      </c>
      <c r="O273" s="167">
        <f>M273+N273</f>
        <v/>
      </c>
      <c r="P273" s="164" t="n"/>
    </row>
    <row r="274">
      <c r="A274" s="173" t="n"/>
      <c r="B274" s="164" t="n"/>
      <c r="C274" s="164" t="n"/>
      <c r="D274" s="164" t="n"/>
      <c r="E274" s="164" t="n"/>
      <c r="F274" s="164" t="n"/>
      <c r="G274" s="164" t="n"/>
      <c r="H274" s="164" t="n"/>
      <c r="I274" s="166" t="n"/>
      <c r="J274" s="166" t="n"/>
      <c r="K274" s="166" t="n"/>
      <c r="L274" s="168" t="n"/>
      <c r="M274" s="167">
        <f>H274*I274+J274+K274</f>
        <v/>
      </c>
      <c r="N274" s="167">
        <f>M274*L274</f>
        <v/>
      </c>
      <c r="O274" s="167">
        <f>M274+N274</f>
        <v/>
      </c>
      <c r="P274" s="164" t="n"/>
    </row>
    <row r="275">
      <c r="A275" s="173" t="n"/>
      <c r="B275" s="164" t="n"/>
      <c r="C275" s="164" t="n"/>
      <c r="D275" s="164" t="n"/>
      <c r="E275" s="164" t="n"/>
      <c r="F275" s="164" t="n"/>
      <c r="G275" s="164" t="n"/>
      <c r="H275" s="164" t="n"/>
      <c r="I275" s="166" t="n"/>
      <c r="J275" s="166" t="n"/>
      <c r="K275" s="166" t="n"/>
      <c r="L275" s="168" t="n"/>
      <c r="M275" s="167">
        <f>H275*I275+J275+K275</f>
        <v/>
      </c>
      <c r="N275" s="167">
        <f>M275*L275</f>
        <v/>
      </c>
      <c r="O275" s="167">
        <f>M275+N275</f>
        <v/>
      </c>
      <c r="P275" s="164" t="n"/>
    </row>
    <row r="276">
      <c r="A276" s="173" t="n"/>
      <c r="B276" s="164" t="n"/>
      <c r="C276" s="164" t="n"/>
      <c r="D276" s="164" t="n"/>
      <c r="E276" s="164" t="n"/>
      <c r="F276" s="164" t="n"/>
      <c r="G276" s="164" t="n"/>
      <c r="H276" s="164" t="n"/>
      <c r="I276" s="166" t="n"/>
      <c r="J276" s="166" t="n"/>
      <c r="K276" s="166" t="n"/>
      <c r="L276" s="168" t="n"/>
      <c r="M276" s="167">
        <f>H276*I276+J276+K276</f>
        <v/>
      </c>
      <c r="N276" s="167">
        <f>M276*L276</f>
        <v/>
      </c>
      <c r="O276" s="167">
        <f>M276+N276</f>
        <v/>
      </c>
      <c r="P276" s="164" t="n"/>
    </row>
    <row r="277">
      <c r="A277" s="173" t="n"/>
      <c r="B277" s="164" t="n"/>
      <c r="C277" s="164" t="n"/>
      <c r="D277" s="164" t="n"/>
      <c r="E277" s="164" t="n"/>
      <c r="F277" s="164" t="n"/>
      <c r="G277" s="164" t="n"/>
      <c r="H277" s="164" t="n"/>
      <c r="I277" s="166" t="n"/>
      <c r="J277" s="166" t="n"/>
      <c r="K277" s="166" t="n"/>
      <c r="L277" s="168" t="n"/>
      <c r="M277" s="167">
        <f>H277*I277+J277+K277</f>
        <v/>
      </c>
      <c r="N277" s="167">
        <f>M277*L277</f>
        <v/>
      </c>
      <c r="O277" s="167">
        <f>M277+N277</f>
        <v/>
      </c>
      <c r="P277" s="164" t="n"/>
    </row>
    <row r="278">
      <c r="A278" s="173" t="n"/>
      <c r="B278" s="164" t="n"/>
      <c r="C278" s="164" t="n"/>
      <c r="D278" s="164" t="n"/>
      <c r="E278" s="164" t="n"/>
      <c r="F278" s="164" t="n"/>
      <c r="G278" s="164" t="n"/>
      <c r="H278" s="164" t="n"/>
      <c r="I278" s="166" t="n"/>
      <c r="J278" s="166" t="n"/>
      <c r="K278" s="166" t="n"/>
      <c r="L278" s="168" t="n"/>
      <c r="M278" s="167">
        <f>H278*I278+J278+K278</f>
        <v/>
      </c>
      <c r="N278" s="167">
        <f>M278*L278</f>
        <v/>
      </c>
      <c r="O278" s="167">
        <f>M278+N278</f>
        <v/>
      </c>
      <c r="P278" s="164" t="n"/>
    </row>
    <row r="279">
      <c r="A279" s="173" t="n"/>
      <c r="B279" s="164" t="n"/>
      <c r="C279" s="164" t="n"/>
      <c r="D279" s="164" t="n"/>
      <c r="E279" s="164" t="n"/>
      <c r="F279" s="164" t="n"/>
      <c r="G279" s="164" t="n"/>
      <c r="H279" s="164" t="n"/>
      <c r="I279" s="166" t="n"/>
      <c r="J279" s="166" t="n"/>
      <c r="K279" s="166" t="n"/>
      <c r="L279" s="168" t="n"/>
      <c r="M279" s="167">
        <f>H279*I279+J279+K279</f>
        <v/>
      </c>
      <c r="N279" s="167">
        <f>M279*L279</f>
        <v/>
      </c>
      <c r="O279" s="167">
        <f>M279+N279</f>
        <v/>
      </c>
      <c r="P279" s="164" t="n"/>
    </row>
    <row r="280">
      <c r="A280" s="173" t="n"/>
      <c r="B280" s="164" t="n"/>
      <c r="C280" s="164" t="n"/>
      <c r="D280" s="164" t="n"/>
      <c r="E280" s="164" t="n"/>
      <c r="F280" s="164" t="n"/>
      <c r="G280" s="164" t="n"/>
      <c r="H280" s="164" t="n"/>
      <c r="I280" s="166" t="n"/>
      <c r="J280" s="166" t="n"/>
      <c r="K280" s="166" t="n"/>
      <c r="L280" s="168" t="n"/>
      <c r="M280" s="167">
        <f>H280*I280+J280+K280</f>
        <v/>
      </c>
      <c r="N280" s="167">
        <f>M280*L280</f>
        <v/>
      </c>
      <c r="O280" s="167">
        <f>M280+N280</f>
        <v/>
      </c>
      <c r="P280" s="164" t="n"/>
    </row>
    <row r="281">
      <c r="A281" s="173" t="n"/>
      <c r="B281" s="164" t="n"/>
      <c r="C281" s="164" t="n"/>
      <c r="D281" s="164" t="n"/>
      <c r="E281" s="164" t="n"/>
      <c r="F281" s="164" t="n"/>
      <c r="G281" s="164" t="n"/>
      <c r="H281" s="164" t="n"/>
      <c r="I281" s="166" t="n"/>
      <c r="J281" s="166" t="n"/>
      <c r="K281" s="166" t="n"/>
      <c r="L281" s="168" t="n"/>
      <c r="M281" s="167">
        <f>H281*I281+J281+K281</f>
        <v/>
      </c>
      <c r="N281" s="167">
        <f>M281*L281</f>
        <v/>
      </c>
      <c r="O281" s="167">
        <f>M281+N281</f>
        <v/>
      </c>
      <c r="P281" s="164" t="n"/>
    </row>
    <row r="282">
      <c r="A282" s="173" t="n"/>
      <c r="B282" s="164" t="n"/>
      <c r="C282" s="164" t="n"/>
      <c r="D282" s="164" t="n"/>
      <c r="E282" s="164" t="n"/>
      <c r="F282" s="164" t="n"/>
      <c r="G282" s="164" t="n"/>
      <c r="H282" s="164" t="n"/>
      <c r="I282" s="166" t="n"/>
      <c r="J282" s="166" t="n"/>
      <c r="K282" s="166" t="n"/>
      <c r="L282" s="168" t="n"/>
      <c r="M282" s="167">
        <f>H282*I282+J282+K282</f>
        <v/>
      </c>
      <c r="N282" s="167">
        <f>M282*L282</f>
        <v/>
      </c>
      <c r="O282" s="167">
        <f>M282+N282</f>
        <v/>
      </c>
      <c r="P282" s="164" t="n"/>
    </row>
    <row r="283">
      <c r="A283" s="173" t="n"/>
      <c r="B283" s="164" t="n"/>
      <c r="C283" s="164" t="n"/>
      <c r="D283" s="164" t="n"/>
      <c r="E283" s="164" t="n"/>
      <c r="F283" s="164" t="n"/>
      <c r="G283" s="164" t="n"/>
      <c r="H283" s="164" t="n"/>
      <c r="I283" s="166" t="n"/>
      <c r="J283" s="166" t="n"/>
      <c r="K283" s="166" t="n"/>
      <c r="L283" s="168" t="n"/>
      <c r="M283" s="167">
        <f>H283*I283+J283+K283</f>
        <v/>
      </c>
      <c r="N283" s="167">
        <f>M283*L283</f>
        <v/>
      </c>
      <c r="O283" s="167">
        <f>M283+N283</f>
        <v/>
      </c>
      <c r="P283" s="164" t="n"/>
    </row>
    <row r="284">
      <c r="A284" s="173" t="n"/>
      <c r="B284" s="164" t="n"/>
      <c r="C284" s="164" t="n"/>
      <c r="D284" s="164" t="n"/>
      <c r="E284" s="164" t="n"/>
      <c r="F284" s="164" t="n"/>
      <c r="G284" s="164" t="n"/>
      <c r="H284" s="164" t="n"/>
      <c r="I284" s="166" t="n"/>
      <c r="J284" s="166" t="n"/>
      <c r="K284" s="166" t="n"/>
      <c r="L284" s="168" t="n"/>
      <c r="M284" s="167">
        <f>H284*I284+J284+K284</f>
        <v/>
      </c>
      <c r="N284" s="167">
        <f>M284*L284</f>
        <v/>
      </c>
      <c r="O284" s="167">
        <f>M284+N284</f>
        <v/>
      </c>
      <c r="P284" s="164" t="n"/>
    </row>
    <row r="285">
      <c r="A285" s="173" t="n"/>
      <c r="B285" s="164" t="n"/>
      <c r="C285" s="164" t="n"/>
      <c r="D285" s="164" t="n"/>
      <c r="E285" s="164" t="n"/>
      <c r="F285" s="164" t="n"/>
      <c r="G285" s="164" t="n"/>
      <c r="H285" s="164" t="n"/>
      <c r="I285" s="166" t="n"/>
      <c r="J285" s="166" t="n"/>
      <c r="K285" s="166" t="n"/>
      <c r="L285" s="168" t="n"/>
      <c r="M285" s="167">
        <f>H285*I285+J285+K285</f>
        <v/>
      </c>
      <c r="N285" s="167">
        <f>M285*L285</f>
        <v/>
      </c>
      <c r="O285" s="167">
        <f>M285+N285</f>
        <v/>
      </c>
      <c r="P285" s="164" t="n"/>
    </row>
    <row r="286">
      <c r="A286" s="173" t="n"/>
      <c r="B286" s="164" t="n"/>
      <c r="C286" s="164" t="n"/>
      <c r="D286" s="164" t="n"/>
      <c r="E286" s="164" t="n"/>
      <c r="F286" s="164" t="n"/>
      <c r="G286" s="164" t="n"/>
      <c r="H286" s="164" t="n"/>
      <c r="I286" s="166" t="n"/>
      <c r="J286" s="166" t="n"/>
      <c r="K286" s="166" t="n"/>
      <c r="L286" s="168" t="n"/>
      <c r="M286" s="167">
        <f>H286*I286+J286+K286</f>
        <v/>
      </c>
      <c r="N286" s="167">
        <f>M286*L286</f>
        <v/>
      </c>
      <c r="O286" s="167">
        <f>M286+N286</f>
        <v/>
      </c>
      <c r="P286" s="164" t="n"/>
    </row>
    <row r="287">
      <c r="A287" s="173" t="n"/>
      <c r="B287" s="164" t="n"/>
      <c r="C287" s="164" t="n"/>
      <c r="D287" s="164" t="n"/>
      <c r="E287" s="164" t="n"/>
      <c r="F287" s="164" t="n"/>
      <c r="G287" s="164" t="n"/>
      <c r="H287" s="164" t="n"/>
      <c r="I287" s="166" t="n"/>
      <c r="J287" s="166" t="n"/>
      <c r="K287" s="166" t="n"/>
      <c r="L287" s="168" t="n"/>
      <c r="M287" s="167">
        <f>H287*I287+J287+K287</f>
        <v/>
      </c>
      <c r="N287" s="167">
        <f>M287*L287</f>
        <v/>
      </c>
      <c r="O287" s="167">
        <f>M287+N287</f>
        <v/>
      </c>
      <c r="P287" s="164" t="n"/>
    </row>
    <row r="288">
      <c r="A288" s="173" t="n"/>
      <c r="B288" s="164" t="n"/>
      <c r="C288" s="164" t="n"/>
      <c r="D288" s="164" t="n"/>
      <c r="E288" s="164" t="n"/>
      <c r="F288" s="164" t="n"/>
      <c r="G288" s="164" t="n"/>
      <c r="H288" s="164" t="n"/>
      <c r="I288" s="166" t="n"/>
      <c r="J288" s="166" t="n"/>
      <c r="K288" s="166" t="n"/>
      <c r="L288" s="168" t="n"/>
      <c r="M288" s="167">
        <f>H288*I288+J288+K288</f>
        <v/>
      </c>
      <c r="N288" s="167">
        <f>M288*L288</f>
        <v/>
      </c>
      <c r="O288" s="167">
        <f>M288+N288</f>
        <v/>
      </c>
      <c r="P288" s="164" t="n"/>
    </row>
    <row r="289">
      <c r="A289" s="173" t="n"/>
      <c r="B289" s="164" t="n"/>
      <c r="C289" s="164" t="n"/>
      <c r="D289" s="164" t="n"/>
      <c r="E289" s="164" t="n"/>
      <c r="F289" s="164" t="n"/>
      <c r="G289" s="164" t="n"/>
      <c r="H289" s="164" t="n"/>
      <c r="I289" s="166" t="n"/>
      <c r="J289" s="166" t="n"/>
      <c r="K289" s="166" t="n"/>
      <c r="L289" s="168" t="n"/>
      <c r="M289" s="167">
        <f>H289*I289+J289+K289</f>
        <v/>
      </c>
      <c r="N289" s="167">
        <f>M289*L289</f>
        <v/>
      </c>
      <c r="O289" s="167">
        <f>M289+N289</f>
        <v/>
      </c>
      <c r="P289" s="164" t="n"/>
    </row>
    <row r="290">
      <c r="A290" s="173" t="n"/>
      <c r="B290" s="164" t="n"/>
      <c r="C290" s="164" t="n"/>
      <c r="D290" s="164" t="n"/>
      <c r="E290" s="164" t="n"/>
      <c r="F290" s="164" t="n"/>
      <c r="G290" s="164" t="n"/>
      <c r="H290" s="164" t="n"/>
      <c r="I290" s="166" t="n"/>
      <c r="J290" s="166" t="n"/>
      <c r="K290" s="166" t="n"/>
      <c r="L290" s="168" t="n"/>
      <c r="M290" s="167">
        <f>H290*I290+J290+K290</f>
        <v/>
      </c>
      <c r="N290" s="167">
        <f>M290*L290</f>
        <v/>
      </c>
      <c r="O290" s="167">
        <f>M290+N290</f>
        <v/>
      </c>
      <c r="P290" s="164" t="n"/>
    </row>
    <row r="291">
      <c r="A291" s="173" t="n"/>
      <c r="B291" s="164" t="n"/>
      <c r="C291" s="164" t="n"/>
      <c r="D291" s="164" t="n"/>
      <c r="E291" s="164" t="n"/>
      <c r="F291" s="164" t="n"/>
      <c r="G291" s="164" t="n"/>
      <c r="H291" s="164" t="n"/>
      <c r="I291" s="166" t="n"/>
      <c r="J291" s="166" t="n"/>
      <c r="K291" s="166" t="n"/>
      <c r="L291" s="168" t="n"/>
      <c r="M291" s="167">
        <f>H291*I291+J291+K291</f>
        <v/>
      </c>
      <c r="N291" s="167">
        <f>M291*L291</f>
        <v/>
      </c>
      <c r="O291" s="167">
        <f>M291+N291</f>
        <v/>
      </c>
      <c r="P291" s="164" t="n"/>
    </row>
    <row r="292">
      <c r="A292" s="173" t="n"/>
      <c r="B292" s="164" t="n"/>
      <c r="C292" s="164" t="n"/>
      <c r="D292" s="164" t="n"/>
      <c r="E292" s="164" t="n"/>
      <c r="F292" s="164" t="n"/>
      <c r="G292" s="164" t="n"/>
      <c r="H292" s="164" t="n"/>
      <c r="I292" s="166" t="n"/>
      <c r="J292" s="166" t="n"/>
      <c r="K292" s="166" t="n"/>
      <c r="L292" s="168" t="n"/>
      <c r="M292" s="167">
        <f>H292*I292+J292+K292</f>
        <v/>
      </c>
      <c r="N292" s="167">
        <f>M292*L292</f>
        <v/>
      </c>
      <c r="O292" s="167">
        <f>M292+N292</f>
        <v/>
      </c>
      <c r="P292" s="164" t="n"/>
    </row>
    <row r="293">
      <c r="A293" s="173" t="n"/>
      <c r="B293" s="164" t="n"/>
      <c r="C293" s="164" t="n"/>
      <c r="D293" s="164" t="n"/>
      <c r="E293" s="164" t="n"/>
      <c r="F293" s="164" t="n"/>
      <c r="G293" s="164" t="n"/>
      <c r="H293" s="164" t="n"/>
      <c r="I293" s="166" t="n"/>
      <c r="J293" s="166" t="n"/>
      <c r="K293" s="166" t="n"/>
      <c r="L293" s="168" t="n"/>
      <c r="M293" s="167">
        <f>H293*I293+J293+K293</f>
        <v/>
      </c>
      <c r="N293" s="167">
        <f>M293*L293</f>
        <v/>
      </c>
      <c r="O293" s="167">
        <f>M293+N293</f>
        <v/>
      </c>
      <c r="P293" s="164" t="n"/>
    </row>
    <row r="294">
      <c r="A294" s="173" t="n"/>
      <c r="B294" s="164" t="n"/>
      <c r="C294" s="164" t="n"/>
      <c r="D294" s="164" t="n"/>
      <c r="E294" s="164" t="n"/>
      <c r="F294" s="164" t="n"/>
      <c r="G294" s="164" t="n"/>
      <c r="H294" s="164" t="n"/>
      <c r="I294" s="166" t="n"/>
      <c r="J294" s="166" t="n"/>
      <c r="K294" s="166" t="n"/>
      <c r="L294" s="168" t="n"/>
      <c r="M294" s="167">
        <f>H294*I294+J294+K294</f>
        <v/>
      </c>
      <c r="N294" s="167">
        <f>M294*L294</f>
        <v/>
      </c>
      <c r="O294" s="167">
        <f>M294+N294</f>
        <v/>
      </c>
      <c r="P294" s="164" t="n"/>
    </row>
    <row r="295">
      <c r="A295" s="173" t="n"/>
      <c r="B295" s="164" t="n"/>
      <c r="C295" s="164" t="n"/>
      <c r="D295" s="164" t="n"/>
      <c r="E295" s="164" t="n"/>
      <c r="F295" s="164" t="n"/>
      <c r="G295" s="164" t="n"/>
      <c r="H295" s="164" t="n"/>
      <c r="I295" s="166" t="n"/>
      <c r="J295" s="166" t="n"/>
      <c r="K295" s="166" t="n"/>
      <c r="L295" s="168" t="n"/>
      <c r="M295" s="167">
        <f>H295*I295+J295+K295</f>
        <v/>
      </c>
      <c r="N295" s="167">
        <f>M295*L295</f>
        <v/>
      </c>
      <c r="O295" s="167">
        <f>M295+N295</f>
        <v/>
      </c>
      <c r="P295" s="164" t="n"/>
    </row>
    <row r="296">
      <c r="A296" s="173" t="n"/>
      <c r="B296" s="164" t="n"/>
      <c r="C296" s="164" t="n"/>
      <c r="D296" s="164" t="n"/>
      <c r="E296" s="164" t="n"/>
      <c r="F296" s="164" t="n"/>
      <c r="G296" s="164" t="n"/>
      <c r="H296" s="164" t="n"/>
      <c r="I296" s="166" t="n"/>
      <c r="J296" s="166" t="n"/>
      <c r="K296" s="166" t="n"/>
      <c r="L296" s="168" t="n"/>
      <c r="M296" s="167">
        <f>H296*I296+J296+K296</f>
        <v/>
      </c>
      <c r="N296" s="167">
        <f>M296*L296</f>
        <v/>
      </c>
      <c r="O296" s="167">
        <f>M296+N296</f>
        <v/>
      </c>
      <c r="P296" s="164" t="n"/>
    </row>
    <row r="297">
      <c r="A297" s="173" t="n"/>
      <c r="B297" s="164" t="n"/>
      <c r="C297" s="164" t="n"/>
      <c r="D297" s="164" t="n"/>
      <c r="E297" s="164" t="n"/>
      <c r="F297" s="164" t="n"/>
      <c r="G297" s="164" t="n"/>
      <c r="H297" s="164" t="n"/>
      <c r="I297" s="166" t="n"/>
      <c r="J297" s="166" t="n"/>
      <c r="K297" s="166" t="n"/>
      <c r="L297" s="168" t="n"/>
      <c r="M297" s="167">
        <f>H297*I297+J297+K297</f>
        <v/>
      </c>
      <c r="N297" s="167">
        <f>M297*L297</f>
        <v/>
      </c>
      <c r="O297" s="167">
        <f>M297+N297</f>
        <v/>
      </c>
      <c r="P297" s="164" t="n"/>
    </row>
    <row r="298">
      <c r="A298" s="173" t="n"/>
      <c r="B298" s="164" t="n"/>
      <c r="C298" s="164" t="n"/>
      <c r="D298" s="164" t="n"/>
      <c r="E298" s="164" t="n"/>
      <c r="F298" s="164" t="n"/>
      <c r="G298" s="164" t="n"/>
      <c r="H298" s="164" t="n"/>
      <c r="I298" s="166" t="n"/>
      <c r="J298" s="166" t="n"/>
      <c r="K298" s="166" t="n"/>
      <c r="L298" s="168" t="n"/>
      <c r="M298" s="167">
        <f>H298*I298+J298+K298</f>
        <v/>
      </c>
      <c r="N298" s="167">
        <f>M298*L298</f>
        <v/>
      </c>
      <c r="O298" s="167">
        <f>M298+N298</f>
        <v/>
      </c>
      <c r="P298" s="164" t="n"/>
    </row>
    <row r="299">
      <c r="A299" s="173" t="n"/>
      <c r="B299" s="164" t="n"/>
      <c r="C299" s="164" t="n"/>
      <c r="D299" s="164" t="n"/>
      <c r="E299" s="164" t="n"/>
      <c r="F299" s="164" t="n"/>
      <c r="G299" s="164" t="n"/>
      <c r="H299" s="164" t="n"/>
      <c r="I299" s="166" t="n"/>
      <c r="J299" s="166" t="n"/>
      <c r="K299" s="166" t="n"/>
      <c r="L299" s="168" t="n"/>
      <c r="M299" s="167">
        <f>H299*I299+J299+K299</f>
        <v/>
      </c>
      <c r="N299" s="167">
        <f>M299*L299</f>
        <v/>
      </c>
      <c r="O299" s="167">
        <f>M299+N299</f>
        <v/>
      </c>
      <c r="P299" s="164" t="n"/>
    </row>
    <row r="300">
      <c r="A300" s="173" t="n"/>
      <c r="B300" s="164" t="n"/>
      <c r="C300" s="164" t="n"/>
      <c r="D300" s="164" t="n"/>
      <c r="E300" s="164" t="n"/>
      <c r="F300" s="164" t="n"/>
      <c r="G300" s="164" t="n"/>
      <c r="H300" s="164" t="n"/>
      <c r="I300" s="166" t="n"/>
      <c r="J300" s="166" t="n"/>
      <c r="K300" s="166" t="n"/>
      <c r="L300" s="168" t="n"/>
      <c r="M300" s="167">
        <f>H300*I300+J300+K300</f>
        <v/>
      </c>
      <c r="N300" s="167">
        <f>M300*L300</f>
        <v/>
      </c>
      <c r="O300" s="167">
        <f>M300+N300</f>
        <v/>
      </c>
      <c r="P300" s="164" t="n"/>
    </row>
    <row r="301">
      <c r="A301" s="173" t="n"/>
      <c r="B301" s="164" t="n"/>
      <c r="C301" s="164" t="n"/>
      <c r="D301" s="164" t="n"/>
      <c r="E301" s="164" t="n"/>
      <c r="F301" s="164" t="n"/>
      <c r="G301" s="164" t="n"/>
      <c r="H301" s="164" t="n"/>
      <c r="I301" s="166" t="n"/>
      <c r="J301" s="166" t="n"/>
      <c r="K301" s="166" t="n"/>
      <c r="L301" s="168" t="n"/>
      <c r="M301" s="167">
        <f>H301*I301+J301+K301</f>
        <v/>
      </c>
      <c r="N301" s="167">
        <f>M301*L301</f>
        <v/>
      </c>
      <c r="O301" s="167">
        <f>M301+N301</f>
        <v/>
      </c>
      <c r="P301" s="164" t="n"/>
    </row>
    <row r="302">
      <c r="A302" s="173" t="n"/>
      <c r="B302" s="164" t="n"/>
      <c r="C302" s="164" t="n"/>
      <c r="D302" s="164" t="n"/>
      <c r="E302" s="164" t="n"/>
      <c r="F302" s="164" t="n"/>
      <c r="G302" s="164" t="n"/>
      <c r="H302" s="164" t="n"/>
      <c r="I302" s="166" t="n"/>
      <c r="J302" s="166" t="n"/>
      <c r="K302" s="166" t="n"/>
      <c r="L302" s="168" t="n"/>
      <c r="M302" s="167">
        <f>H302*I302+J302+K302</f>
        <v/>
      </c>
      <c r="N302" s="167">
        <f>M302*L302</f>
        <v/>
      </c>
      <c r="O302" s="167">
        <f>M302+N302</f>
        <v/>
      </c>
      <c r="P302" s="164" t="n"/>
    </row>
    <row r="303">
      <c r="A303" s="173" t="n"/>
      <c r="B303" s="164" t="n"/>
      <c r="C303" s="164" t="n"/>
      <c r="D303" s="164" t="n"/>
      <c r="E303" s="164" t="n"/>
      <c r="F303" s="164" t="n"/>
      <c r="G303" s="164" t="n"/>
      <c r="H303" s="164" t="n"/>
      <c r="I303" s="166" t="n"/>
      <c r="J303" s="166" t="n"/>
      <c r="K303" s="166" t="n"/>
      <c r="L303" s="168" t="n"/>
      <c r="M303" s="167">
        <f>H303*I303+J303+K303</f>
        <v/>
      </c>
      <c r="N303" s="167">
        <f>M303*L303</f>
        <v/>
      </c>
      <c r="O303" s="167">
        <f>M303+N303</f>
        <v/>
      </c>
      <c r="P303" s="164" t="n"/>
    </row>
    <row r="304">
      <c r="A304" s="173" t="n"/>
      <c r="B304" s="164" t="n"/>
      <c r="C304" s="164" t="n"/>
      <c r="D304" s="164" t="n"/>
      <c r="E304" s="164" t="n"/>
      <c r="F304" s="164" t="n"/>
      <c r="G304" s="164" t="n"/>
      <c r="H304" s="164" t="n"/>
      <c r="I304" s="166" t="n"/>
      <c r="J304" s="166" t="n"/>
      <c r="K304" s="166" t="n"/>
      <c r="L304" s="168" t="n"/>
      <c r="M304" s="167">
        <f>H304*I304+J304+K304</f>
        <v/>
      </c>
      <c r="N304" s="167">
        <f>M304*L304</f>
        <v/>
      </c>
      <c r="O304" s="167">
        <f>M304+N304</f>
        <v/>
      </c>
      <c r="P304" s="164" t="n"/>
    </row>
    <row r="305">
      <c r="A305" s="173" t="n"/>
      <c r="B305" s="164" t="n"/>
      <c r="C305" s="164" t="n"/>
      <c r="D305" s="164" t="n"/>
      <c r="E305" s="164" t="n"/>
      <c r="F305" s="164" t="n"/>
      <c r="G305" s="164" t="n"/>
      <c r="H305" s="164" t="n"/>
      <c r="I305" s="166" t="n"/>
      <c r="J305" s="166" t="n"/>
      <c r="K305" s="166" t="n"/>
      <c r="L305" s="168" t="n"/>
      <c r="M305" s="167">
        <f>H305*I305+J305+K305</f>
        <v/>
      </c>
      <c r="N305" s="167">
        <f>M305*L305</f>
        <v/>
      </c>
      <c r="O305" s="167">
        <f>M305+N305</f>
        <v/>
      </c>
      <c r="P305" s="164" t="n"/>
    </row>
    <row r="306">
      <c r="A306" s="173" t="n"/>
      <c r="B306" s="164" t="n"/>
      <c r="C306" s="164" t="n"/>
      <c r="D306" s="164" t="n"/>
      <c r="E306" s="164" t="n"/>
      <c r="F306" s="164" t="n"/>
      <c r="G306" s="164" t="n"/>
      <c r="H306" s="164" t="n"/>
      <c r="I306" s="166" t="n"/>
      <c r="J306" s="166" t="n"/>
      <c r="K306" s="166" t="n"/>
      <c r="L306" s="168" t="n"/>
      <c r="M306" s="167">
        <f>H306*I306+J306+K306</f>
        <v/>
      </c>
      <c r="N306" s="167">
        <f>M306*L306</f>
        <v/>
      </c>
      <c r="O306" s="167">
        <f>M306+N306</f>
        <v/>
      </c>
      <c r="P306" s="164" t="n"/>
    </row>
    <row r="307">
      <c r="A307" s="173" t="n"/>
      <c r="B307" s="164" t="n"/>
      <c r="C307" s="164" t="n"/>
      <c r="D307" s="164" t="n"/>
      <c r="E307" s="164" t="n"/>
      <c r="F307" s="164" t="n"/>
      <c r="G307" s="164" t="n"/>
      <c r="H307" s="164" t="n"/>
      <c r="I307" s="166" t="n"/>
      <c r="J307" s="166" t="n"/>
      <c r="K307" s="166" t="n"/>
      <c r="L307" s="168" t="n"/>
      <c r="M307" s="167">
        <f>H307*I307+J307+K307</f>
        <v/>
      </c>
      <c r="N307" s="167">
        <f>M307*L307</f>
        <v/>
      </c>
      <c r="O307" s="167">
        <f>M307+N307</f>
        <v/>
      </c>
      <c r="P307" s="164" t="n"/>
    </row>
    <row r="308">
      <c r="A308" s="173" t="n"/>
      <c r="B308" s="164" t="n"/>
      <c r="C308" s="164" t="n"/>
      <c r="D308" s="164" t="n"/>
      <c r="E308" s="164" t="n"/>
      <c r="F308" s="164" t="n"/>
      <c r="G308" s="164" t="n"/>
      <c r="H308" s="164" t="n"/>
      <c r="I308" s="166" t="n"/>
      <c r="J308" s="166" t="n"/>
      <c r="K308" s="166" t="n"/>
      <c r="L308" s="168" t="n"/>
      <c r="M308" s="167">
        <f>H308*I308+J308+K308</f>
        <v/>
      </c>
      <c r="N308" s="167">
        <f>M308*L308</f>
        <v/>
      </c>
      <c r="O308" s="167">
        <f>M308+N308</f>
        <v/>
      </c>
      <c r="P308" s="164" t="n"/>
    </row>
    <row r="309">
      <c r="A309" s="173" t="n"/>
      <c r="B309" s="164" t="n"/>
      <c r="C309" s="164" t="n"/>
      <c r="D309" s="164" t="n"/>
      <c r="E309" s="164" t="n"/>
      <c r="F309" s="164" t="n"/>
      <c r="G309" s="164" t="n"/>
      <c r="H309" s="164" t="n"/>
      <c r="I309" s="166" t="n"/>
      <c r="J309" s="166" t="n"/>
      <c r="K309" s="166" t="n"/>
      <c r="L309" s="168" t="n"/>
      <c r="M309" s="167">
        <f>H309*I309+J309+K309</f>
        <v/>
      </c>
      <c r="N309" s="167">
        <f>M309*L309</f>
        <v/>
      </c>
      <c r="O309" s="167">
        <f>M309+N309</f>
        <v/>
      </c>
      <c r="P309" s="164" t="n"/>
    </row>
    <row r="310">
      <c r="A310" s="173" t="n"/>
      <c r="B310" s="164" t="n"/>
      <c r="C310" s="164" t="n"/>
      <c r="D310" s="164" t="n"/>
      <c r="E310" s="164" t="n"/>
      <c r="F310" s="164" t="n"/>
      <c r="G310" s="164" t="n"/>
      <c r="H310" s="164" t="n"/>
      <c r="I310" s="166" t="n"/>
      <c r="J310" s="166" t="n"/>
      <c r="K310" s="166" t="n"/>
      <c r="L310" s="168" t="n"/>
      <c r="M310" s="167">
        <f>H310*I310+J310+K310</f>
        <v/>
      </c>
      <c r="N310" s="167">
        <f>M310*L310</f>
        <v/>
      </c>
      <c r="O310" s="167">
        <f>M310+N310</f>
        <v/>
      </c>
      <c r="P310" s="164" t="n"/>
    </row>
    <row r="311">
      <c r="A311" s="173" t="n"/>
      <c r="B311" s="164" t="n"/>
      <c r="C311" s="164" t="n"/>
      <c r="D311" s="164" t="n"/>
      <c r="E311" s="164" t="n"/>
      <c r="F311" s="164" t="n"/>
      <c r="G311" s="164" t="n"/>
      <c r="H311" s="164" t="n"/>
      <c r="I311" s="166" t="n"/>
      <c r="J311" s="166" t="n"/>
      <c r="K311" s="166" t="n"/>
      <c r="L311" s="168" t="n"/>
      <c r="M311" s="167">
        <f>H311*I311+J311+K311</f>
        <v/>
      </c>
      <c r="N311" s="167">
        <f>M311*L311</f>
        <v/>
      </c>
      <c r="O311" s="167">
        <f>M311+N311</f>
        <v/>
      </c>
      <c r="P311" s="164" t="n"/>
    </row>
    <row r="312">
      <c r="A312" s="173" t="n"/>
      <c r="B312" s="164" t="n"/>
      <c r="C312" s="164" t="n"/>
      <c r="D312" s="164" t="n"/>
      <c r="E312" s="164" t="n"/>
      <c r="F312" s="164" t="n"/>
      <c r="G312" s="164" t="n"/>
      <c r="H312" s="164" t="n"/>
      <c r="I312" s="166" t="n"/>
      <c r="J312" s="166" t="n"/>
      <c r="K312" s="166" t="n"/>
      <c r="L312" s="168" t="n"/>
      <c r="M312" s="167">
        <f>H312*I312+J312+K312</f>
        <v/>
      </c>
      <c r="N312" s="167">
        <f>M312*L312</f>
        <v/>
      </c>
      <c r="O312" s="167">
        <f>M312+N312</f>
        <v/>
      </c>
      <c r="P312" s="164" t="n"/>
    </row>
    <row r="313">
      <c r="A313" s="173" t="n"/>
      <c r="B313" s="164" t="n"/>
      <c r="C313" s="164" t="n"/>
      <c r="D313" s="164" t="n"/>
      <c r="E313" s="164" t="n"/>
      <c r="F313" s="164" t="n"/>
      <c r="G313" s="164" t="n"/>
      <c r="H313" s="164" t="n"/>
      <c r="I313" s="166" t="n"/>
      <c r="J313" s="166" t="n"/>
      <c r="K313" s="166" t="n"/>
      <c r="L313" s="168" t="n"/>
      <c r="M313" s="167">
        <f>H313*I313+J313+K313</f>
        <v/>
      </c>
      <c r="N313" s="167">
        <f>M313*L313</f>
        <v/>
      </c>
      <c r="O313" s="167">
        <f>M313+N313</f>
        <v/>
      </c>
      <c r="P313" s="164" t="n"/>
    </row>
    <row r="314">
      <c r="A314" s="173" t="n"/>
      <c r="B314" s="164" t="n"/>
      <c r="C314" s="164" t="n"/>
      <c r="D314" s="164" t="n"/>
      <c r="E314" s="164" t="n"/>
      <c r="F314" s="164" t="n"/>
      <c r="G314" s="164" t="n"/>
      <c r="H314" s="164" t="n"/>
      <c r="I314" s="166" t="n"/>
      <c r="J314" s="166" t="n"/>
      <c r="K314" s="166" t="n"/>
      <c r="L314" s="168" t="n"/>
      <c r="M314" s="167">
        <f>H314*I314+J314+K314</f>
        <v/>
      </c>
      <c r="N314" s="167">
        <f>M314*L314</f>
        <v/>
      </c>
      <c r="O314" s="167">
        <f>M314+N314</f>
        <v/>
      </c>
      <c r="P314" s="164" t="n"/>
    </row>
    <row r="315">
      <c r="A315" s="173" t="n"/>
      <c r="B315" s="164" t="n"/>
      <c r="C315" s="164" t="n"/>
      <c r="D315" s="164" t="n"/>
      <c r="E315" s="164" t="n"/>
      <c r="F315" s="164" t="n"/>
      <c r="G315" s="164" t="n"/>
      <c r="H315" s="164" t="n"/>
      <c r="I315" s="166" t="n"/>
      <c r="J315" s="166" t="n"/>
      <c r="K315" s="166" t="n"/>
      <c r="L315" s="168" t="n"/>
      <c r="M315" s="167">
        <f>H315*I315+J315+K315</f>
        <v/>
      </c>
      <c r="N315" s="167">
        <f>M315*L315</f>
        <v/>
      </c>
      <c r="O315" s="167">
        <f>M315+N315</f>
        <v/>
      </c>
      <c r="P315" s="164" t="n"/>
    </row>
    <row r="316">
      <c r="A316" s="173" t="n"/>
      <c r="B316" s="164" t="n"/>
      <c r="C316" s="164" t="n"/>
      <c r="D316" s="164" t="n"/>
      <c r="E316" s="164" t="n"/>
      <c r="F316" s="164" t="n"/>
      <c r="G316" s="164" t="n"/>
      <c r="H316" s="164" t="n"/>
      <c r="I316" s="166" t="n"/>
      <c r="J316" s="166" t="n"/>
      <c r="K316" s="166" t="n"/>
      <c r="L316" s="168" t="n"/>
      <c r="M316" s="167">
        <f>H316*I316+J316+K316</f>
        <v/>
      </c>
      <c r="N316" s="167">
        <f>M316*L316</f>
        <v/>
      </c>
      <c r="O316" s="167">
        <f>M316+N316</f>
        <v/>
      </c>
      <c r="P316" s="164" t="n"/>
    </row>
    <row r="317">
      <c r="A317" s="173" t="n"/>
      <c r="B317" s="164" t="n"/>
      <c r="C317" s="164" t="n"/>
      <c r="D317" s="164" t="n"/>
      <c r="E317" s="164" t="n"/>
      <c r="F317" s="164" t="n"/>
      <c r="G317" s="164" t="n"/>
      <c r="H317" s="164" t="n"/>
      <c r="I317" s="166" t="n"/>
      <c r="J317" s="166" t="n"/>
      <c r="K317" s="166" t="n"/>
      <c r="L317" s="168" t="n"/>
      <c r="M317" s="167">
        <f>H317*I317+J317+K317</f>
        <v/>
      </c>
      <c r="N317" s="167">
        <f>M317*L317</f>
        <v/>
      </c>
      <c r="O317" s="167">
        <f>M317+N317</f>
        <v/>
      </c>
      <c r="P317" s="164" t="n"/>
    </row>
    <row r="318">
      <c r="A318" s="173" t="n"/>
      <c r="B318" s="164" t="n"/>
      <c r="C318" s="164" t="n"/>
      <c r="D318" s="164" t="n"/>
      <c r="E318" s="164" t="n"/>
      <c r="F318" s="164" t="n"/>
      <c r="G318" s="164" t="n"/>
      <c r="H318" s="164" t="n"/>
      <c r="I318" s="166" t="n"/>
      <c r="J318" s="166" t="n"/>
      <c r="K318" s="166" t="n"/>
      <c r="L318" s="168" t="n"/>
      <c r="M318" s="167">
        <f>H318*I318+J318+K318</f>
        <v/>
      </c>
      <c r="N318" s="167">
        <f>M318*L318</f>
        <v/>
      </c>
      <c r="O318" s="167">
        <f>M318+N318</f>
        <v/>
      </c>
      <c r="P318" s="164" t="n"/>
    </row>
    <row r="319">
      <c r="A319" s="173" t="n"/>
      <c r="B319" s="164" t="n"/>
      <c r="C319" s="164" t="n"/>
      <c r="D319" s="164" t="n"/>
      <c r="E319" s="164" t="n"/>
      <c r="F319" s="164" t="n"/>
      <c r="G319" s="164" t="n"/>
      <c r="H319" s="164" t="n"/>
      <c r="I319" s="166" t="n"/>
      <c r="J319" s="166" t="n"/>
      <c r="K319" s="166" t="n"/>
      <c r="L319" s="168" t="n"/>
      <c r="M319" s="167">
        <f>H319*I319+J319+K319</f>
        <v/>
      </c>
      <c r="N319" s="167">
        <f>M319*L319</f>
        <v/>
      </c>
      <c r="O319" s="167">
        <f>M319+N319</f>
        <v/>
      </c>
      <c r="P319" s="164" t="n"/>
    </row>
    <row r="320">
      <c r="A320" s="173" t="n"/>
      <c r="B320" s="164" t="n"/>
      <c r="C320" s="164" t="n"/>
      <c r="D320" s="164" t="n"/>
      <c r="E320" s="164" t="n"/>
      <c r="F320" s="164" t="n"/>
      <c r="G320" s="164" t="n"/>
      <c r="H320" s="164" t="n"/>
      <c r="I320" s="166" t="n"/>
      <c r="J320" s="166" t="n"/>
      <c r="K320" s="166" t="n"/>
      <c r="L320" s="168" t="n"/>
      <c r="M320" s="167">
        <f>H320*I320+J320+K320</f>
        <v/>
      </c>
      <c r="N320" s="167">
        <f>M320*L320</f>
        <v/>
      </c>
      <c r="O320" s="167">
        <f>M320+N320</f>
        <v/>
      </c>
      <c r="P320" s="164" t="n"/>
    </row>
    <row r="321">
      <c r="A321" s="173" t="n"/>
      <c r="B321" s="164" t="n"/>
      <c r="C321" s="164" t="n"/>
      <c r="D321" s="164" t="n"/>
      <c r="E321" s="164" t="n"/>
      <c r="F321" s="164" t="n"/>
      <c r="G321" s="164" t="n"/>
      <c r="H321" s="164" t="n"/>
      <c r="I321" s="166" t="n"/>
      <c r="J321" s="166" t="n"/>
      <c r="K321" s="166" t="n"/>
      <c r="L321" s="168" t="n"/>
      <c r="M321" s="167">
        <f>H321*I321+J321+K321</f>
        <v/>
      </c>
      <c r="N321" s="167">
        <f>M321*L321</f>
        <v/>
      </c>
      <c r="O321" s="167">
        <f>M321+N321</f>
        <v/>
      </c>
      <c r="P321" s="164" t="n"/>
    </row>
    <row r="322">
      <c r="A322" s="173" t="n"/>
      <c r="B322" s="164" t="n"/>
      <c r="C322" s="164" t="n"/>
      <c r="D322" s="164" t="n"/>
      <c r="E322" s="164" t="n"/>
      <c r="F322" s="164" t="n"/>
      <c r="G322" s="164" t="n"/>
      <c r="H322" s="164" t="n"/>
      <c r="I322" s="166" t="n"/>
      <c r="J322" s="166" t="n"/>
      <c r="K322" s="166" t="n"/>
      <c r="L322" s="168" t="n"/>
      <c r="M322" s="167">
        <f>H322*I322+J322+K322</f>
        <v/>
      </c>
      <c r="N322" s="167">
        <f>M322*L322</f>
        <v/>
      </c>
      <c r="O322" s="167">
        <f>M322+N322</f>
        <v/>
      </c>
      <c r="P322" s="164" t="n"/>
    </row>
    <row r="323">
      <c r="A323" s="173" t="n"/>
      <c r="B323" s="164" t="n"/>
      <c r="C323" s="164" t="n"/>
      <c r="D323" s="164" t="n"/>
      <c r="E323" s="164" t="n"/>
      <c r="F323" s="164" t="n"/>
      <c r="G323" s="164" t="n"/>
      <c r="H323" s="164" t="n"/>
      <c r="I323" s="166" t="n"/>
      <c r="J323" s="166" t="n"/>
      <c r="K323" s="166" t="n"/>
      <c r="L323" s="168" t="n"/>
      <c r="M323" s="167">
        <f>H323*I323+J323+K323</f>
        <v/>
      </c>
      <c r="N323" s="167">
        <f>M323*L323</f>
        <v/>
      </c>
      <c r="O323" s="167">
        <f>M323+N323</f>
        <v/>
      </c>
      <c r="P323" s="164" t="n"/>
    </row>
    <row r="324">
      <c r="A324" s="173" t="n"/>
      <c r="B324" s="164" t="n"/>
      <c r="C324" s="164" t="n"/>
      <c r="D324" s="164" t="n"/>
      <c r="E324" s="164" t="n"/>
      <c r="F324" s="164" t="n"/>
      <c r="G324" s="164" t="n"/>
      <c r="H324" s="164" t="n"/>
      <c r="I324" s="166" t="n"/>
      <c r="J324" s="166" t="n"/>
      <c r="K324" s="166" t="n"/>
      <c r="L324" s="168" t="n"/>
      <c r="M324" s="167">
        <f>H324*I324+J324+K324</f>
        <v/>
      </c>
      <c r="N324" s="167">
        <f>M324*L324</f>
        <v/>
      </c>
      <c r="O324" s="167">
        <f>M324+N324</f>
        <v/>
      </c>
      <c r="P324" s="164" t="n"/>
    </row>
    <row r="325">
      <c r="A325" s="173" t="n"/>
      <c r="B325" s="164" t="n"/>
      <c r="C325" s="164" t="n"/>
      <c r="D325" s="164" t="n"/>
      <c r="E325" s="164" t="n"/>
      <c r="F325" s="164" t="n"/>
      <c r="G325" s="164" t="n"/>
      <c r="H325" s="164" t="n"/>
      <c r="I325" s="166" t="n"/>
      <c r="J325" s="166" t="n"/>
      <c r="K325" s="166" t="n"/>
      <c r="L325" s="168" t="n"/>
      <c r="M325" s="167">
        <f>H325*I325+J325+K325</f>
        <v/>
      </c>
      <c r="N325" s="167">
        <f>M325*L325</f>
        <v/>
      </c>
      <c r="O325" s="167">
        <f>M325+N325</f>
        <v/>
      </c>
      <c r="P325" s="164" t="n"/>
    </row>
    <row r="326">
      <c r="A326" s="173" t="n"/>
      <c r="B326" s="164" t="n"/>
      <c r="C326" s="164" t="n"/>
      <c r="D326" s="164" t="n"/>
      <c r="E326" s="164" t="n"/>
      <c r="F326" s="164" t="n"/>
      <c r="G326" s="164" t="n"/>
      <c r="H326" s="164" t="n"/>
      <c r="I326" s="166" t="n"/>
      <c r="J326" s="166" t="n"/>
      <c r="K326" s="166" t="n"/>
      <c r="L326" s="168" t="n"/>
      <c r="M326" s="167">
        <f>H326*I326+J326+K326</f>
        <v/>
      </c>
      <c r="N326" s="167">
        <f>M326*L326</f>
        <v/>
      </c>
      <c r="O326" s="167">
        <f>M326+N326</f>
        <v/>
      </c>
      <c r="P326" s="164" t="n"/>
    </row>
    <row r="327">
      <c r="A327" s="173" t="n"/>
      <c r="B327" s="164" t="n"/>
      <c r="C327" s="164" t="n"/>
      <c r="D327" s="164" t="n"/>
      <c r="E327" s="164" t="n"/>
      <c r="F327" s="164" t="n"/>
      <c r="G327" s="164" t="n"/>
      <c r="H327" s="164" t="n"/>
      <c r="I327" s="166" t="n"/>
      <c r="J327" s="166" t="n"/>
      <c r="K327" s="166" t="n"/>
      <c r="L327" s="168" t="n"/>
      <c r="M327" s="167">
        <f>H327*I327+J327+K327</f>
        <v/>
      </c>
      <c r="N327" s="167">
        <f>M327*L327</f>
        <v/>
      </c>
      <c r="O327" s="167">
        <f>M327+N327</f>
        <v/>
      </c>
      <c r="P327" s="164" t="n"/>
    </row>
    <row r="328">
      <c r="A328" s="173" t="n"/>
      <c r="B328" s="164" t="n"/>
      <c r="C328" s="164" t="n"/>
      <c r="D328" s="164" t="n"/>
      <c r="E328" s="164" t="n"/>
      <c r="F328" s="164" t="n"/>
      <c r="G328" s="164" t="n"/>
      <c r="H328" s="164" t="n"/>
      <c r="I328" s="166" t="n"/>
      <c r="J328" s="166" t="n"/>
      <c r="K328" s="166" t="n"/>
      <c r="L328" s="168" t="n"/>
      <c r="M328" s="167">
        <f>H328*I328+J328+K328</f>
        <v/>
      </c>
      <c r="N328" s="167">
        <f>M328*L328</f>
        <v/>
      </c>
      <c r="O328" s="167">
        <f>M328+N328</f>
        <v/>
      </c>
      <c r="P328" s="164" t="n"/>
    </row>
    <row r="329">
      <c r="A329" s="173" t="n"/>
      <c r="B329" s="164" t="n"/>
      <c r="C329" s="164" t="n"/>
      <c r="D329" s="164" t="n"/>
      <c r="E329" s="164" t="n"/>
      <c r="F329" s="164" t="n"/>
      <c r="G329" s="164" t="n"/>
      <c r="H329" s="164" t="n"/>
      <c r="I329" s="166" t="n"/>
      <c r="J329" s="166" t="n"/>
      <c r="K329" s="166" t="n"/>
      <c r="L329" s="168" t="n"/>
      <c r="M329" s="167">
        <f>H329*I329+J329+K329</f>
        <v/>
      </c>
      <c r="N329" s="167">
        <f>M329*L329</f>
        <v/>
      </c>
      <c r="O329" s="167">
        <f>M329+N329</f>
        <v/>
      </c>
      <c r="P329" s="164" t="n"/>
    </row>
    <row r="330">
      <c r="A330" s="173" t="n"/>
      <c r="B330" s="164" t="n"/>
      <c r="C330" s="164" t="n"/>
      <c r="D330" s="164" t="n"/>
      <c r="E330" s="164" t="n"/>
      <c r="F330" s="164" t="n"/>
      <c r="G330" s="164" t="n"/>
      <c r="H330" s="164" t="n"/>
      <c r="I330" s="166" t="n"/>
      <c r="J330" s="166" t="n"/>
      <c r="K330" s="166" t="n"/>
      <c r="L330" s="168" t="n"/>
      <c r="M330" s="167">
        <f>H330*I330+J330+K330</f>
        <v/>
      </c>
      <c r="N330" s="167">
        <f>M330*L330</f>
        <v/>
      </c>
      <c r="O330" s="167">
        <f>M330+N330</f>
        <v/>
      </c>
      <c r="P330" s="164" t="n"/>
    </row>
    <row r="331">
      <c r="A331" s="173" t="n"/>
      <c r="B331" s="164" t="n"/>
      <c r="C331" s="164" t="n"/>
      <c r="D331" s="164" t="n"/>
      <c r="E331" s="164" t="n"/>
      <c r="F331" s="164" t="n"/>
      <c r="G331" s="164" t="n"/>
      <c r="H331" s="164" t="n"/>
      <c r="I331" s="166" t="n"/>
      <c r="J331" s="166" t="n"/>
      <c r="K331" s="166" t="n"/>
      <c r="L331" s="168" t="n"/>
      <c r="M331" s="167">
        <f>H331*I331+J331+K331</f>
        <v/>
      </c>
      <c r="N331" s="167">
        <f>M331*L331</f>
        <v/>
      </c>
      <c r="O331" s="167">
        <f>M331+N331</f>
        <v/>
      </c>
      <c r="P331" s="164" t="n"/>
    </row>
    <row r="332">
      <c r="A332" s="173" t="n"/>
      <c r="B332" s="164" t="n"/>
      <c r="C332" s="164" t="n"/>
      <c r="D332" s="164" t="n"/>
      <c r="E332" s="164" t="n"/>
      <c r="F332" s="164" t="n"/>
      <c r="G332" s="164" t="n"/>
      <c r="H332" s="164" t="n"/>
      <c r="I332" s="166" t="n"/>
      <c r="J332" s="166" t="n"/>
      <c r="K332" s="166" t="n"/>
      <c r="L332" s="168" t="n"/>
      <c r="M332" s="167">
        <f>H332*I332+J332+K332</f>
        <v/>
      </c>
      <c r="N332" s="167">
        <f>M332*L332</f>
        <v/>
      </c>
      <c r="O332" s="167">
        <f>M332+N332</f>
        <v/>
      </c>
      <c r="P332" s="164" t="n"/>
    </row>
    <row r="333">
      <c r="A333" s="173" t="n"/>
      <c r="B333" s="164" t="n"/>
      <c r="C333" s="164" t="n"/>
      <c r="D333" s="164" t="n"/>
      <c r="E333" s="164" t="n"/>
      <c r="F333" s="164" t="n"/>
      <c r="G333" s="164" t="n"/>
      <c r="H333" s="164" t="n"/>
      <c r="I333" s="166" t="n"/>
      <c r="J333" s="166" t="n"/>
      <c r="K333" s="166" t="n"/>
      <c r="L333" s="168" t="n"/>
      <c r="M333" s="167">
        <f>H333*I333+J333+K333</f>
        <v/>
      </c>
      <c r="N333" s="167">
        <f>M333*L333</f>
        <v/>
      </c>
      <c r="O333" s="167">
        <f>M333+N333</f>
        <v/>
      </c>
      <c r="P333" s="164" t="n"/>
    </row>
    <row r="334">
      <c r="A334" s="173" t="n"/>
      <c r="B334" s="164" t="n"/>
      <c r="C334" s="164" t="n"/>
      <c r="D334" s="164" t="n"/>
      <c r="E334" s="164" t="n"/>
      <c r="F334" s="164" t="n"/>
      <c r="G334" s="164" t="n"/>
      <c r="H334" s="164" t="n"/>
      <c r="I334" s="166" t="n"/>
      <c r="J334" s="166" t="n"/>
      <c r="K334" s="166" t="n"/>
      <c r="L334" s="168" t="n"/>
      <c r="M334" s="167">
        <f>H334*I334+J334+K334</f>
        <v/>
      </c>
      <c r="N334" s="167">
        <f>M334*L334</f>
        <v/>
      </c>
      <c r="O334" s="167">
        <f>M334+N334</f>
        <v/>
      </c>
      <c r="P334" s="164" t="n"/>
    </row>
    <row r="335">
      <c r="A335" s="173" t="n"/>
      <c r="B335" s="164" t="n"/>
      <c r="C335" s="164" t="n"/>
      <c r="D335" s="164" t="n"/>
      <c r="E335" s="164" t="n"/>
      <c r="F335" s="164" t="n"/>
      <c r="G335" s="164" t="n"/>
      <c r="H335" s="164" t="n"/>
      <c r="I335" s="166" t="n"/>
      <c r="J335" s="166" t="n"/>
      <c r="K335" s="166" t="n"/>
      <c r="L335" s="168" t="n"/>
      <c r="M335" s="167">
        <f>H335*I335+J335+K335</f>
        <v/>
      </c>
      <c r="N335" s="167">
        <f>M335*L335</f>
        <v/>
      </c>
      <c r="O335" s="167">
        <f>M335+N335</f>
        <v/>
      </c>
      <c r="P335" s="164" t="n"/>
    </row>
    <row r="336">
      <c r="A336" s="173" t="n"/>
      <c r="B336" s="164" t="n"/>
      <c r="C336" s="164" t="n"/>
      <c r="D336" s="164" t="n"/>
      <c r="E336" s="164" t="n"/>
      <c r="F336" s="164" t="n"/>
      <c r="G336" s="164" t="n"/>
      <c r="H336" s="164" t="n"/>
      <c r="I336" s="166" t="n"/>
      <c r="J336" s="166" t="n"/>
      <c r="K336" s="166" t="n"/>
      <c r="L336" s="168" t="n"/>
      <c r="M336" s="167">
        <f>H336*I336+J336+K336</f>
        <v/>
      </c>
      <c r="N336" s="167">
        <f>M336*L336</f>
        <v/>
      </c>
      <c r="O336" s="167">
        <f>M336+N336</f>
        <v/>
      </c>
      <c r="P336" s="164" t="n"/>
    </row>
    <row r="337">
      <c r="A337" s="173" t="n"/>
      <c r="B337" s="164" t="n"/>
      <c r="C337" s="164" t="n"/>
      <c r="D337" s="164" t="n"/>
      <c r="E337" s="164" t="n"/>
      <c r="F337" s="164" t="n"/>
      <c r="G337" s="164" t="n"/>
      <c r="H337" s="164" t="n"/>
      <c r="I337" s="166" t="n"/>
      <c r="J337" s="166" t="n"/>
      <c r="K337" s="166" t="n"/>
      <c r="L337" s="168" t="n"/>
      <c r="M337" s="167">
        <f>H337*I337+J337+K337</f>
        <v/>
      </c>
      <c r="N337" s="167">
        <f>M337*L337</f>
        <v/>
      </c>
      <c r="O337" s="167">
        <f>M337+N337</f>
        <v/>
      </c>
      <c r="P337" s="164" t="n"/>
    </row>
    <row r="338">
      <c r="A338" s="173" t="n"/>
      <c r="B338" s="164" t="n"/>
      <c r="C338" s="164" t="n"/>
      <c r="D338" s="164" t="n"/>
      <c r="E338" s="164" t="n"/>
      <c r="F338" s="164" t="n"/>
      <c r="G338" s="164" t="n"/>
      <c r="H338" s="164" t="n"/>
      <c r="I338" s="166" t="n"/>
      <c r="J338" s="166" t="n"/>
      <c r="K338" s="166" t="n"/>
      <c r="L338" s="168" t="n"/>
      <c r="M338" s="167">
        <f>H338*I338+J338+K338</f>
        <v/>
      </c>
      <c r="N338" s="167">
        <f>M338*L338</f>
        <v/>
      </c>
      <c r="O338" s="167">
        <f>M338+N338</f>
        <v/>
      </c>
      <c r="P338" s="164" t="n"/>
    </row>
    <row r="339">
      <c r="A339" s="173" t="n"/>
      <c r="B339" s="164" t="n"/>
      <c r="C339" s="164" t="n"/>
      <c r="D339" s="164" t="n"/>
      <c r="E339" s="164" t="n"/>
      <c r="F339" s="164" t="n"/>
      <c r="G339" s="164" t="n"/>
      <c r="H339" s="164" t="n"/>
      <c r="I339" s="166" t="n"/>
      <c r="J339" s="166" t="n"/>
      <c r="K339" s="166" t="n"/>
      <c r="L339" s="168" t="n"/>
      <c r="M339" s="167">
        <f>H339*I339+J339+K339</f>
        <v/>
      </c>
      <c r="N339" s="167">
        <f>M339*L339</f>
        <v/>
      </c>
      <c r="O339" s="167">
        <f>M339+N339</f>
        <v/>
      </c>
      <c r="P339" s="164" t="n"/>
    </row>
    <row r="340">
      <c r="A340" s="173" t="n"/>
      <c r="B340" s="164" t="n"/>
      <c r="C340" s="164" t="n"/>
      <c r="D340" s="164" t="n"/>
      <c r="E340" s="164" t="n"/>
      <c r="F340" s="164" t="n"/>
      <c r="G340" s="164" t="n"/>
      <c r="H340" s="164" t="n"/>
      <c r="I340" s="166" t="n"/>
      <c r="J340" s="166" t="n"/>
      <c r="K340" s="166" t="n"/>
      <c r="L340" s="168" t="n"/>
      <c r="M340" s="167">
        <f>H340*I340+J340+K340</f>
        <v/>
      </c>
      <c r="N340" s="167">
        <f>M340*L340</f>
        <v/>
      </c>
      <c r="O340" s="167">
        <f>M340+N340</f>
        <v/>
      </c>
      <c r="P340" s="164" t="n"/>
    </row>
    <row r="341">
      <c r="A341" s="173" t="n"/>
      <c r="B341" s="164" t="n"/>
      <c r="C341" s="164" t="n"/>
      <c r="D341" s="164" t="n"/>
      <c r="E341" s="164" t="n"/>
      <c r="F341" s="164" t="n"/>
      <c r="G341" s="164" t="n"/>
      <c r="H341" s="164" t="n"/>
      <c r="I341" s="166" t="n"/>
      <c r="J341" s="166" t="n"/>
      <c r="K341" s="166" t="n"/>
      <c r="L341" s="168" t="n"/>
      <c r="M341" s="167">
        <f>H341*I341+J341+K341</f>
        <v/>
      </c>
      <c r="N341" s="167">
        <f>M341*L341</f>
        <v/>
      </c>
      <c r="O341" s="167">
        <f>M341+N341</f>
        <v/>
      </c>
      <c r="P341" s="164" t="n"/>
    </row>
    <row r="342">
      <c r="A342" s="173" t="n"/>
      <c r="B342" s="164" t="n"/>
      <c r="C342" s="164" t="n"/>
      <c r="D342" s="164" t="n"/>
      <c r="E342" s="164" t="n"/>
      <c r="F342" s="164" t="n"/>
      <c r="G342" s="164" t="n"/>
      <c r="H342" s="164" t="n"/>
      <c r="I342" s="166" t="n"/>
      <c r="J342" s="166" t="n"/>
      <c r="K342" s="166" t="n"/>
      <c r="L342" s="168" t="n"/>
      <c r="M342" s="167">
        <f>H342*I342+J342+K342</f>
        <v/>
      </c>
      <c r="N342" s="167">
        <f>M342*L342</f>
        <v/>
      </c>
      <c r="O342" s="167">
        <f>M342+N342</f>
        <v/>
      </c>
      <c r="P342" s="164" t="n"/>
    </row>
    <row r="343">
      <c r="A343" s="173" t="n"/>
      <c r="B343" s="164" t="n"/>
      <c r="C343" s="164" t="n"/>
      <c r="D343" s="164" t="n"/>
      <c r="E343" s="164" t="n"/>
      <c r="F343" s="164" t="n"/>
      <c r="G343" s="164" t="n"/>
      <c r="H343" s="164" t="n"/>
      <c r="I343" s="166" t="n"/>
      <c r="J343" s="166" t="n"/>
      <c r="K343" s="166" t="n"/>
      <c r="L343" s="168" t="n"/>
      <c r="M343" s="167">
        <f>H343*I343+J343+K343</f>
        <v/>
      </c>
      <c r="N343" s="167">
        <f>M343*L343</f>
        <v/>
      </c>
      <c r="O343" s="167">
        <f>M343+N343</f>
        <v/>
      </c>
      <c r="P343" s="164" t="n"/>
    </row>
    <row r="344">
      <c r="A344" s="173" t="n"/>
      <c r="B344" s="164" t="n"/>
      <c r="C344" s="164" t="n"/>
      <c r="D344" s="164" t="n"/>
      <c r="E344" s="164" t="n"/>
      <c r="F344" s="164" t="n"/>
      <c r="G344" s="164" t="n"/>
      <c r="H344" s="164" t="n"/>
      <c r="I344" s="166" t="n"/>
      <c r="J344" s="166" t="n"/>
      <c r="K344" s="166" t="n"/>
      <c r="L344" s="168" t="n"/>
      <c r="M344" s="167">
        <f>H344*I344+J344+K344</f>
        <v/>
      </c>
      <c r="N344" s="167">
        <f>M344*L344</f>
        <v/>
      </c>
      <c r="O344" s="167">
        <f>M344+N344</f>
        <v/>
      </c>
      <c r="P344" s="164" t="n"/>
    </row>
    <row r="345">
      <c r="A345" s="173" t="n"/>
      <c r="B345" s="164" t="n"/>
      <c r="C345" s="164" t="n"/>
      <c r="D345" s="164" t="n"/>
      <c r="E345" s="164" t="n"/>
      <c r="F345" s="164" t="n"/>
      <c r="G345" s="164" t="n"/>
      <c r="H345" s="164" t="n"/>
      <c r="I345" s="166" t="n"/>
      <c r="J345" s="166" t="n"/>
      <c r="K345" s="166" t="n"/>
      <c r="L345" s="168" t="n"/>
      <c r="M345" s="167">
        <f>H345*I345+J345+K345</f>
        <v/>
      </c>
      <c r="N345" s="167">
        <f>M345*L345</f>
        <v/>
      </c>
      <c r="O345" s="167">
        <f>M345+N345</f>
        <v/>
      </c>
      <c r="P345" s="164" t="n"/>
    </row>
    <row r="346">
      <c r="A346" s="173" t="n"/>
      <c r="B346" s="164" t="n"/>
      <c r="C346" s="164" t="n"/>
      <c r="D346" s="164" t="n"/>
      <c r="E346" s="164" t="n"/>
      <c r="F346" s="164" t="n"/>
      <c r="G346" s="164" t="n"/>
      <c r="H346" s="164" t="n"/>
      <c r="I346" s="166" t="n"/>
      <c r="J346" s="166" t="n"/>
      <c r="K346" s="166" t="n"/>
      <c r="L346" s="168" t="n"/>
      <c r="M346" s="167">
        <f>H346*I346+J346+K346</f>
        <v/>
      </c>
      <c r="N346" s="167">
        <f>M346*L346</f>
        <v/>
      </c>
      <c r="O346" s="167">
        <f>M346+N346</f>
        <v/>
      </c>
      <c r="P346" s="164" t="n"/>
    </row>
    <row r="347">
      <c r="A347" s="173" t="n"/>
      <c r="B347" s="164" t="n"/>
      <c r="C347" s="164" t="n"/>
      <c r="D347" s="164" t="n"/>
      <c r="E347" s="164" t="n"/>
      <c r="F347" s="164" t="n"/>
      <c r="G347" s="164" t="n"/>
      <c r="H347" s="164" t="n"/>
      <c r="I347" s="166" t="n"/>
      <c r="J347" s="166" t="n"/>
      <c r="K347" s="166" t="n"/>
      <c r="L347" s="168" t="n"/>
      <c r="M347" s="167">
        <f>H347*I347+J347+K347</f>
        <v/>
      </c>
      <c r="N347" s="167">
        <f>M347*L347</f>
        <v/>
      </c>
      <c r="O347" s="167">
        <f>M347+N347</f>
        <v/>
      </c>
      <c r="P347" s="164" t="n"/>
    </row>
    <row r="348">
      <c r="A348" s="173" t="n"/>
      <c r="B348" s="164" t="n"/>
      <c r="C348" s="164" t="n"/>
      <c r="D348" s="164" t="n"/>
      <c r="E348" s="164" t="n"/>
      <c r="F348" s="164" t="n"/>
      <c r="G348" s="164" t="n"/>
      <c r="H348" s="164" t="n"/>
      <c r="I348" s="166" t="n"/>
      <c r="J348" s="166" t="n"/>
      <c r="K348" s="166" t="n"/>
      <c r="L348" s="168" t="n"/>
      <c r="M348" s="167">
        <f>H348*I348+J348+K348</f>
        <v/>
      </c>
      <c r="N348" s="167">
        <f>M348*L348</f>
        <v/>
      </c>
      <c r="O348" s="167">
        <f>M348+N348</f>
        <v/>
      </c>
      <c r="P348" s="164" t="n"/>
    </row>
    <row r="349">
      <c r="A349" s="173" t="n"/>
      <c r="B349" s="164" t="n"/>
      <c r="C349" s="164" t="n"/>
      <c r="D349" s="164" t="n"/>
      <c r="E349" s="164" t="n"/>
      <c r="F349" s="164" t="n"/>
      <c r="G349" s="164" t="n"/>
      <c r="H349" s="164" t="n"/>
      <c r="I349" s="166" t="n"/>
      <c r="J349" s="166" t="n"/>
      <c r="K349" s="166" t="n"/>
      <c r="L349" s="168" t="n"/>
      <c r="M349" s="167">
        <f>H349*I349+J349+K349</f>
        <v/>
      </c>
      <c r="N349" s="167">
        <f>M349*L349</f>
        <v/>
      </c>
      <c r="O349" s="167">
        <f>M349+N349</f>
        <v/>
      </c>
      <c r="P349" s="164" t="n"/>
    </row>
    <row r="350">
      <c r="A350" s="173" t="n"/>
      <c r="B350" s="164" t="n"/>
      <c r="C350" s="164" t="n"/>
      <c r="D350" s="164" t="n"/>
      <c r="E350" s="164" t="n"/>
      <c r="F350" s="164" t="n"/>
      <c r="G350" s="164" t="n"/>
      <c r="H350" s="164" t="n"/>
      <c r="I350" s="166" t="n"/>
      <c r="J350" s="166" t="n"/>
      <c r="K350" s="166" t="n"/>
      <c r="L350" s="168" t="n"/>
      <c r="M350" s="167">
        <f>H350*I350+J350+K350</f>
        <v/>
      </c>
      <c r="N350" s="167">
        <f>M350*L350</f>
        <v/>
      </c>
      <c r="O350" s="167">
        <f>M350+N350</f>
        <v/>
      </c>
      <c r="P350" s="164" t="n"/>
    </row>
    <row r="351">
      <c r="A351" s="173" t="n"/>
      <c r="B351" s="164" t="n"/>
      <c r="C351" s="164" t="n"/>
      <c r="D351" s="164" t="n"/>
      <c r="E351" s="164" t="n"/>
      <c r="F351" s="164" t="n"/>
      <c r="G351" s="164" t="n"/>
      <c r="H351" s="164" t="n"/>
      <c r="I351" s="166" t="n"/>
      <c r="J351" s="166" t="n"/>
      <c r="K351" s="166" t="n"/>
      <c r="L351" s="168" t="n"/>
      <c r="M351" s="167">
        <f>H351*I351+J351+K351</f>
        <v/>
      </c>
      <c r="N351" s="167">
        <f>M351*L351</f>
        <v/>
      </c>
      <c r="O351" s="167">
        <f>M351+N351</f>
        <v/>
      </c>
      <c r="P351" s="164" t="n"/>
    </row>
    <row r="352">
      <c r="A352" s="173" t="n"/>
      <c r="B352" s="164" t="n"/>
      <c r="C352" s="164" t="n"/>
      <c r="D352" s="164" t="n"/>
      <c r="E352" s="164" t="n"/>
      <c r="F352" s="164" t="n"/>
      <c r="G352" s="164" t="n"/>
      <c r="H352" s="164" t="n"/>
      <c r="I352" s="166" t="n"/>
      <c r="J352" s="166" t="n"/>
      <c r="K352" s="166" t="n"/>
      <c r="L352" s="168" t="n"/>
      <c r="M352" s="167">
        <f>H352*I352+J352+K352</f>
        <v/>
      </c>
      <c r="N352" s="167">
        <f>M352*L352</f>
        <v/>
      </c>
      <c r="O352" s="167">
        <f>M352+N352</f>
        <v/>
      </c>
      <c r="P352" s="164" t="n"/>
    </row>
    <row r="353">
      <c r="A353" s="173" t="n"/>
      <c r="B353" s="164" t="n"/>
      <c r="C353" s="164" t="n"/>
      <c r="D353" s="164" t="n"/>
      <c r="E353" s="164" t="n"/>
      <c r="F353" s="164" t="n"/>
      <c r="G353" s="164" t="n"/>
      <c r="H353" s="164" t="n"/>
      <c r="I353" s="166" t="n"/>
      <c r="J353" s="166" t="n"/>
      <c r="K353" s="166" t="n"/>
      <c r="L353" s="168" t="n"/>
      <c r="M353" s="167">
        <f>H353*I353+J353+K353</f>
        <v/>
      </c>
      <c r="N353" s="167">
        <f>M353*L353</f>
        <v/>
      </c>
      <c r="O353" s="167">
        <f>M353+N353</f>
        <v/>
      </c>
      <c r="P353" s="164" t="n"/>
    </row>
    <row r="354">
      <c r="A354" s="173" t="n"/>
      <c r="B354" s="164" t="n"/>
      <c r="C354" s="164" t="n"/>
      <c r="D354" s="164" t="n"/>
      <c r="E354" s="164" t="n"/>
      <c r="F354" s="164" t="n"/>
      <c r="G354" s="164" t="n"/>
      <c r="H354" s="164" t="n"/>
      <c r="I354" s="166" t="n"/>
      <c r="J354" s="166" t="n"/>
      <c r="K354" s="166" t="n"/>
      <c r="L354" s="168" t="n"/>
      <c r="M354" s="167">
        <f>H354*I354+J354+K354</f>
        <v/>
      </c>
      <c r="N354" s="167">
        <f>M354*L354</f>
        <v/>
      </c>
      <c r="O354" s="167">
        <f>M354+N354</f>
        <v/>
      </c>
      <c r="P354" s="164" t="n"/>
    </row>
    <row r="355">
      <c r="A355" s="173" t="n"/>
      <c r="B355" s="164" t="n"/>
      <c r="C355" s="164" t="n"/>
      <c r="D355" s="164" t="n"/>
      <c r="E355" s="164" t="n"/>
      <c r="F355" s="164" t="n"/>
      <c r="G355" s="164" t="n"/>
      <c r="H355" s="164" t="n"/>
      <c r="I355" s="166" t="n"/>
      <c r="J355" s="166" t="n"/>
      <c r="K355" s="166" t="n"/>
      <c r="L355" s="168" t="n"/>
      <c r="M355" s="167">
        <f>H355*I355+J355+K355</f>
        <v/>
      </c>
      <c r="N355" s="167">
        <f>M355*L355</f>
        <v/>
      </c>
      <c r="O355" s="167">
        <f>M355+N355</f>
        <v/>
      </c>
      <c r="P355" s="164" t="n"/>
    </row>
    <row r="356">
      <c r="A356" s="173" t="n"/>
      <c r="B356" s="164" t="n"/>
      <c r="C356" s="164" t="n"/>
      <c r="D356" s="164" t="n"/>
      <c r="E356" s="164" t="n"/>
      <c r="F356" s="164" t="n"/>
      <c r="G356" s="164" t="n"/>
      <c r="H356" s="164" t="n"/>
      <c r="I356" s="166" t="n"/>
      <c r="J356" s="166" t="n"/>
      <c r="K356" s="166" t="n"/>
      <c r="L356" s="168" t="n"/>
      <c r="M356" s="167">
        <f>H356*I356+J356+K356</f>
        <v/>
      </c>
      <c r="N356" s="167">
        <f>M356*L356</f>
        <v/>
      </c>
      <c r="O356" s="167">
        <f>M356+N356</f>
        <v/>
      </c>
      <c r="P356" s="164" t="n"/>
    </row>
    <row r="357">
      <c r="A357" s="173" t="n"/>
      <c r="B357" s="164" t="n"/>
      <c r="C357" s="164" t="n"/>
      <c r="D357" s="164" t="n"/>
      <c r="E357" s="164" t="n"/>
      <c r="F357" s="164" t="n"/>
      <c r="G357" s="164" t="n"/>
      <c r="H357" s="164" t="n"/>
      <c r="I357" s="166" t="n"/>
      <c r="J357" s="166" t="n"/>
      <c r="K357" s="166" t="n"/>
      <c r="L357" s="168" t="n"/>
      <c r="M357" s="167">
        <f>H357*I357+J357+K357</f>
        <v/>
      </c>
      <c r="N357" s="167">
        <f>M357*L357</f>
        <v/>
      </c>
      <c r="O357" s="167">
        <f>M357+N357</f>
        <v/>
      </c>
      <c r="P357" s="164" t="n"/>
    </row>
    <row r="358">
      <c r="A358" s="173" t="n"/>
      <c r="B358" s="164" t="n"/>
      <c r="C358" s="164" t="n"/>
      <c r="D358" s="164" t="n"/>
      <c r="E358" s="164" t="n"/>
      <c r="F358" s="164" t="n"/>
      <c r="G358" s="164" t="n"/>
      <c r="H358" s="164" t="n"/>
      <c r="I358" s="166" t="n"/>
      <c r="J358" s="166" t="n"/>
      <c r="K358" s="166" t="n"/>
      <c r="L358" s="168" t="n"/>
      <c r="M358" s="167">
        <f>H358*I358+J358+K358</f>
        <v/>
      </c>
      <c r="N358" s="167">
        <f>M358*L358</f>
        <v/>
      </c>
      <c r="O358" s="167">
        <f>M358+N358</f>
        <v/>
      </c>
      <c r="P358" s="164" t="n"/>
    </row>
    <row r="359">
      <c r="A359" s="173" t="n"/>
      <c r="B359" s="164" t="n"/>
      <c r="C359" s="164" t="n"/>
      <c r="D359" s="164" t="n"/>
      <c r="E359" s="164" t="n"/>
      <c r="F359" s="164" t="n"/>
      <c r="G359" s="164" t="n"/>
      <c r="H359" s="164" t="n"/>
      <c r="I359" s="166" t="n"/>
      <c r="J359" s="166" t="n"/>
      <c r="K359" s="166" t="n"/>
      <c r="L359" s="168" t="n"/>
      <c r="M359" s="167">
        <f>H359*I359+J359+K359</f>
        <v/>
      </c>
      <c r="N359" s="167">
        <f>M359*L359</f>
        <v/>
      </c>
      <c r="O359" s="167">
        <f>M359+N359</f>
        <v/>
      </c>
      <c r="P359" s="164" t="n"/>
    </row>
    <row r="360">
      <c r="A360" s="173" t="n"/>
      <c r="B360" s="164" t="n"/>
      <c r="C360" s="164" t="n"/>
      <c r="D360" s="164" t="n"/>
      <c r="E360" s="164" t="n"/>
      <c r="F360" s="164" t="n"/>
      <c r="G360" s="164" t="n"/>
      <c r="H360" s="164" t="n"/>
      <c r="I360" s="166" t="n"/>
      <c r="J360" s="166" t="n"/>
      <c r="K360" s="166" t="n"/>
      <c r="L360" s="168" t="n"/>
      <c r="M360" s="167">
        <f>H360*I360+J360+K360</f>
        <v/>
      </c>
      <c r="N360" s="167">
        <f>M360*L360</f>
        <v/>
      </c>
      <c r="O360" s="167">
        <f>M360+N360</f>
        <v/>
      </c>
      <c r="P360" s="164" t="n"/>
    </row>
    <row r="361">
      <c r="A361" s="173" t="n"/>
      <c r="B361" s="164" t="n"/>
      <c r="C361" s="164" t="n"/>
      <c r="D361" s="164" t="n"/>
      <c r="E361" s="164" t="n"/>
      <c r="F361" s="164" t="n"/>
      <c r="G361" s="164" t="n"/>
      <c r="H361" s="164" t="n"/>
      <c r="I361" s="166" t="n"/>
      <c r="J361" s="166" t="n"/>
      <c r="K361" s="166" t="n"/>
      <c r="L361" s="168" t="n"/>
      <c r="M361" s="167">
        <f>H361*I361+J361+K361</f>
        <v/>
      </c>
      <c r="N361" s="167">
        <f>M361*L361</f>
        <v/>
      </c>
      <c r="O361" s="167">
        <f>M361+N361</f>
        <v/>
      </c>
      <c r="P361" s="164" t="n"/>
    </row>
    <row r="362">
      <c r="A362" s="173" t="n"/>
      <c r="B362" s="164" t="n"/>
      <c r="C362" s="164" t="n"/>
      <c r="D362" s="164" t="n"/>
      <c r="E362" s="164" t="n"/>
      <c r="F362" s="164" t="n"/>
      <c r="G362" s="164" t="n"/>
      <c r="H362" s="164" t="n"/>
      <c r="I362" s="166" t="n"/>
      <c r="J362" s="166" t="n"/>
      <c r="K362" s="166" t="n"/>
      <c r="L362" s="168" t="n"/>
      <c r="M362" s="167">
        <f>H362*I362+J362+K362</f>
        <v/>
      </c>
      <c r="N362" s="167">
        <f>M362*L362</f>
        <v/>
      </c>
      <c r="O362" s="167">
        <f>M362+N362</f>
        <v/>
      </c>
      <c r="P362" s="164" t="n"/>
    </row>
    <row r="363">
      <c r="A363" s="173" t="n"/>
      <c r="B363" s="164" t="n"/>
      <c r="C363" s="164" t="n"/>
      <c r="D363" s="164" t="n"/>
      <c r="E363" s="164" t="n"/>
      <c r="F363" s="164" t="n"/>
      <c r="G363" s="164" t="n"/>
      <c r="H363" s="164" t="n"/>
      <c r="I363" s="166" t="n"/>
      <c r="J363" s="166" t="n"/>
      <c r="K363" s="166" t="n"/>
      <c r="L363" s="168" t="n"/>
      <c r="M363" s="167">
        <f>H363*I363+J363+K363</f>
        <v/>
      </c>
      <c r="N363" s="167">
        <f>M363*L363</f>
        <v/>
      </c>
      <c r="O363" s="167">
        <f>M363+N363</f>
        <v/>
      </c>
      <c r="P363" s="164" t="n"/>
    </row>
    <row r="364">
      <c r="A364" s="173" t="n"/>
      <c r="B364" s="164" t="n"/>
      <c r="C364" s="164" t="n"/>
      <c r="D364" s="164" t="n"/>
      <c r="E364" s="164" t="n"/>
      <c r="F364" s="164" t="n"/>
      <c r="G364" s="164" t="n"/>
      <c r="H364" s="164" t="n"/>
      <c r="I364" s="166" t="n"/>
      <c r="J364" s="166" t="n"/>
      <c r="K364" s="166" t="n"/>
      <c r="L364" s="168" t="n"/>
      <c r="M364" s="167">
        <f>H364*I364+J364+K364</f>
        <v/>
      </c>
      <c r="N364" s="167">
        <f>M364*L364</f>
        <v/>
      </c>
      <c r="O364" s="167">
        <f>M364+N364</f>
        <v/>
      </c>
      <c r="P364" s="164" t="n"/>
    </row>
    <row r="365">
      <c r="A365" s="173" t="n"/>
      <c r="B365" s="164" t="n"/>
      <c r="C365" s="164" t="n"/>
      <c r="D365" s="164" t="n"/>
      <c r="E365" s="164" t="n"/>
      <c r="F365" s="164" t="n"/>
      <c r="G365" s="164" t="n"/>
      <c r="H365" s="164" t="n"/>
      <c r="I365" s="166" t="n"/>
      <c r="J365" s="166" t="n"/>
      <c r="K365" s="166" t="n"/>
      <c r="L365" s="168" t="n"/>
      <c r="M365" s="167">
        <f>H365*I365+J365+K365</f>
        <v/>
      </c>
      <c r="N365" s="167">
        <f>M365*L365</f>
        <v/>
      </c>
      <c r="O365" s="167">
        <f>M365+N365</f>
        <v/>
      </c>
      <c r="P365" s="164" t="n"/>
    </row>
    <row r="366">
      <c r="A366" s="173" t="n"/>
      <c r="B366" s="164" t="n"/>
      <c r="C366" s="164" t="n"/>
      <c r="D366" s="164" t="n"/>
      <c r="E366" s="164" t="n"/>
      <c r="F366" s="164" t="n"/>
      <c r="G366" s="164" t="n"/>
      <c r="H366" s="164" t="n"/>
      <c r="I366" s="166" t="n"/>
      <c r="J366" s="166" t="n"/>
      <c r="K366" s="166" t="n"/>
      <c r="L366" s="168" t="n"/>
      <c r="M366" s="167">
        <f>H366*I366+J366+K366</f>
        <v/>
      </c>
      <c r="N366" s="167">
        <f>M366*L366</f>
        <v/>
      </c>
      <c r="O366" s="167">
        <f>M366+N366</f>
        <v/>
      </c>
      <c r="P366" s="164" t="n"/>
    </row>
    <row r="367">
      <c r="A367" s="173" t="n"/>
      <c r="B367" s="164" t="n"/>
      <c r="C367" s="164" t="n"/>
      <c r="D367" s="164" t="n"/>
      <c r="E367" s="164" t="n"/>
      <c r="F367" s="164" t="n"/>
      <c r="G367" s="164" t="n"/>
      <c r="H367" s="164" t="n"/>
      <c r="I367" s="166" t="n"/>
      <c r="J367" s="166" t="n"/>
      <c r="K367" s="166" t="n"/>
      <c r="L367" s="168" t="n"/>
      <c r="M367" s="167">
        <f>H367*I367+J367+K367</f>
        <v/>
      </c>
      <c r="N367" s="167">
        <f>M367*L367</f>
        <v/>
      </c>
      <c r="O367" s="167">
        <f>M367+N367</f>
        <v/>
      </c>
      <c r="P367" s="164" t="n"/>
    </row>
    <row r="368">
      <c r="A368" s="173" t="n"/>
      <c r="B368" s="164" t="n"/>
      <c r="C368" s="164" t="n"/>
      <c r="D368" s="164" t="n"/>
      <c r="E368" s="164" t="n"/>
      <c r="F368" s="164" t="n"/>
      <c r="G368" s="164" t="n"/>
      <c r="H368" s="164" t="n"/>
      <c r="I368" s="166" t="n"/>
      <c r="J368" s="166" t="n"/>
      <c r="K368" s="166" t="n"/>
      <c r="L368" s="168" t="n"/>
      <c r="M368" s="167">
        <f>H368*I368+J368+K368</f>
        <v/>
      </c>
      <c r="N368" s="167">
        <f>M368*L368</f>
        <v/>
      </c>
      <c r="O368" s="167">
        <f>M368+N368</f>
        <v/>
      </c>
      <c r="P368" s="164" t="n"/>
    </row>
    <row r="369">
      <c r="A369" s="173" t="n"/>
      <c r="B369" s="164" t="n"/>
      <c r="C369" s="164" t="n"/>
      <c r="D369" s="164" t="n"/>
      <c r="E369" s="164" t="n"/>
      <c r="F369" s="164" t="n"/>
      <c r="G369" s="164" t="n"/>
      <c r="H369" s="164" t="n"/>
      <c r="I369" s="166" t="n"/>
      <c r="J369" s="166" t="n"/>
      <c r="K369" s="166" t="n"/>
      <c r="L369" s="168" t="n"/>
      <c r="M369" s="167">
        <f>H369*I369+J369+K369</f>
        <v/>
      </c>
      <c r="N369" s="167">
        <f>M369*L369</f>
        <v/>
      </c>
      <c r="O369" s="167">
        <f>M369+N369</f>
        <v/>
      </c>
      <c r="P369" s="164" t="n"/>
    </row>
    <row r="370">
      <c r="A370" s="173" t="n"/>
      <c r="B370" s="164" t="n"/>
      <c r="C370" s="164" t="n"/>
      <c r="D370" s="164" t="n"/>
      <c r="E370" s="164" t="n"/>
      <c r="F370" s="164" t="n"/>
      <c r="G370" s="164" t="n"/>
      <c r="H370" s="164" t="n"/>
      <c r="I370" s="166" t="n"/>
      <c r="J370" s="166" t="n"/>
      <c r="K370" s="166" t="n"/>
      <c r="L370" s="168" t="n"/>
      <c r="M370" s="167">
        <f>H370*I370+J370+K370</f>
        <v/>
      </c>
      <c r="N370" s="167">
        <f>M370*L370</f>
        <v/>
      </c>
      <c r="O370" s="167">
        <f>M370+N370</f>
        <v/>
      </c>
      <c r="P370" s="164" t="n"/>
    </row>
    <row r="371">
      <c r="A371" s="173" t="n"/>
      <c r="B371" s="164" t="n"/>
      <c r="C371" s="164" t="n"/>
      <c r="D371" s="164" t="n"/>
      <c r="E371" s="164" t="n"/>
      <c r="F371" s="164" t="n"/>
      <c r="G371" s="164" t="n"/>
      <c r="H371" s="164" t="n"/>
      <c r="I371" s="166" t="n"/>
      <c r="J371" s="166" t="n"/>
      <c r="K371" s="166" t="n"/>
      <c r="L371" s="168" t="n"/>
      <c r="M371" s="167">
        <f>H371*I371+J371+K371</f>
        <v/>
      </c>
      <c r="N371" s="167">
        <f>M371*L371</f>
        <v/>
      </c>
      <c r="O371" s="167">
        <f>M371+N371</f>
        <v/>
      </c>
      <c r="P371" s="164" t="n"/>
    </row>
    <row r="372">
      <c r="A372" s="173" t="n"/>
      <c r="B372" s="164" t="n"/>
      <c r="C372" s="164" t="n"/>
      <c r="D372" s="164" t="n"/>
      <c r="E372" s="164" t="n"/>
      <c r="F372" s="164" t="n"/>
      <c r="G372" s="164" t="n"/>
      <c r="H372" s="164" t="n"/>
      <c r="I372" s="166" t="n"/>
      <c r="J372" s="166" t="n"/>
      <c r="K372" s="166" t="n"/>
      <c r="L372" s="168" t="n"/>
      <c r="M372" s="167">
        <f>H372*I372+J372+K372</f>
        <v/>
      </c>
      <c r="N372" s="167">
        <f>M372*L372</f>
        <v/>
      </c>
      <c r="O372" s="167">
        <f>M372+N372</f>
        <v/>
      </c>
      <c r="P372" s="164" t="n"/>
    </row>
    <row r="373">
      <c r="A373" s="173" t="n"/>
      <c r="B373" s="164" t="n"/>
      <c r="C373" s="164" t="n"/>
      <c r="D373" s="164" t="n"/>
      <c r="E373" s="164" t="n"/>
      <c r="F373" s="164" t="n"/>
      <c r="G373" s="164" t="n"/>
      <c r="H373" s="164" t="n"/>
      <c r="I373" s="166" t="n"/>
      <c r="J373" s="166" t="n"/>
      <c r="K373" s="166" t="n"/>
      <c r="L373" s="168" t="n"/>
      <c r="M373" s="167">
        <f>H373*I373+J373+K373</f>
        <v/>
      </c>
      <c r="N373" s="167">
        <f>M373*L373</f>
        <v/>
      </c>
      <c r="O373" s="167">
        <f>M373+N373</f>
        <v/>
      </c>
      <c r="P373" s="164" t="n"/>
    </row>
    <row r="374">
      <c r="A374" s="173" t="n"/>
      <c r="B374" s="164" t="n"/>
      <c r="C374" s="164" t="n"/>
      <c r="D374" s="164" t="n"/>
      <c r="E374" s="164" t="n"/>
      <c r="F374" s="164" t="n"/>
      <c r="G374" s="164" t="n"/>
      <c r="H374" s="164" t="n"/>
      <c r="I374" s="166" t="n"/>
      <c r="J374" s="166" t="n"/>
      <c r="K374" s="166" t="n"/>
      <c r="L374" s="168" t="n"/>
      <c r="M374" s="167">
        <f>H374*I374+J374+K374</f>
        <v/>
      </c>
      <c r="N374" s="167">
        <f>M374*L374</f>
        <v/>
      </c>
      <c r="O374" s="167">
        <f>M374+N374</f>
        <v/>
      </c>
      <c r="P374" s="164" t="n"/>
    </row>
    <row r="375">
      <c r="A375" s="173" t="n"/>
      <c r="B375" s="164" t="n"/>
      <c r="C375" s="164" t="n"/>
      <c r="D375" s="164" t="n"/>
      <c r="E375" s="164" t="n"/>
      <c r="F375" s="164" t="n"/>
      <c r="G375" s="164" t="n"/>
      <c r="H375" s="164" t="n"/>
      <c r="I375" s="166" t="n"/>
      <c r="J375" s="166" t="n"/>
      <c r="K375" s="166" t="n"/>
      <c r="L375" s="168" t="n"/>
      <c r="M375" s="167">
        <f>H375*I375+J375+K375</f>
        <v/>
      </c>
      <c r="N375" s="167">
        <f>M375*L375</f>
        <v/>
      </c>
      <c r="O375" s="167">
        <f>M375+N375</f>
        <v/>
      </c>
      <c r="P375" s="164" t="n"/>
    </row>
    <row r="376">
      <c r="A376" s="173" t="n"/>
      <c r="B376" s="164" t="n"/>
      <c r="C376" s="164" t="n"/>
      <c r="D376" s="164" t="n"/>
      <c r="E376" s="164" t="n"/>
      <c r="F376" s="164" t="n"/>
      <c r="G376" s="164" t="n"/>
      <c r="H376" s="164" t="n"/>
      <c r="I376" s="166" t="n"/>
      <c r="J376" s="166" t="n"/>
      <c r="K376" s="166" t="n"/>
      <c r="L376" s="168" t="n"/>
      <c r="M376" s="167">
        <f>H376*I376+J376+K376</f>
        <v/>
      </c>
      <c r="N376" s="167">
        <f>M376*L376</f>
        <v/>
      </c>
      <c r="O376" s="167">
        <f>M376+N376</f>
        <v/>
      </c>
      <c r="P376" s="164" t="n"/>
    </row>
    <row r="377">
      <c r="A377" s="173" t="n"/>
      <c r="B377" s="164" t="n"/>
      <c r="C377" s="164" t="n"/>
      <c r="D377" s="164" t="n"/>
      <c r="E377" s="164" t="n"/>
      <c r="F377" s="164" t="n"/>
      <c r="G377" s="164" t="n"/>
      <c r="H377" s="164" t="n"/>
      <c r="I377" s="166" t="n"/>
      <c r="J377" s="166" t="n"/>
      <c r="K377" s="166" t="n"/>
      <c r="L377" s="168" t="n"/>
      <c r="M377" s="167">
        <f>H377*I377+J377+K377</f>
        <v/>
      </c>
      <c r="N377" s="167">
        <f>M377*L377</f>
        <v/>
      </c>
      <c r="O377" s="167">
        <f>M377+N377</f>
        <v/>
      </c>
      <c r="P377" s="164" t="n"/>
    </row>
    <row r="378">
      <c r="A378" s="173" t="n"/>
      <c r="B378" s="164" t="n"/>
      <c r="C378" s="164" t="n"/>
      <c r="D378" s="164" t="n"/>
      <c r="E378" s="164" t="n"/>
      <c r="F378" s="164" t="n"/>
      <c r="G378" s="164" t="n"/>
      <c r="H378" s="164" t="n"/>
      <c r="I378" s="166" t="n"/>
      <c r="J378" s="166" t="n"/>
      <c r="K378" s="166" t="n"/>
      <c r="L378" s="168" t="n"/>
      <c r="M378" s="167">
        <f>H378*I378+J378+K378</f>
        <v/>
      </c>
      <c r="N378" s="167">
        <f>M378*L378</f>
        <v/>
      </c>
      <c r="O378" s="167">
        <f>M378+N378</f>
        <v/>
      </c>
      <c r="P378" s="164" t="n"/>
    </row>
    <row r="379">
      <c r="A379" s="173" t="n"/>
      <c r="B379" s="164" t="n"/>
      <c r="C379" s="164" t="n"/>
      <c r="D379" s="164" t="n"/>
      <c r="E379" s="164" t="n"/>
      <c r="F379" s="164" t="n"/>
      <c r="G379" s="164" t="n"/>
      <c r="H379" s="164" t="n"/>
      <c r="I379" s="166" t="n"/>
      <c r="J379" s="166" t="n"/>
      <c r="K379" s="166" t="n"/>
      <c r="L379" s="168" t="n"/>
      <c r="M379" s="167">
        <f>H379*I379+J379+K379</f>
        <v/>
      </c>
      <c r="N379" s="167">
        <f>M379*L379</f>
        <v/>
      </c>
      <c r="O379" s="167">
        <f>M379+N379</f>
        <v/>
      </c>
      <c r="P379" s="164" t="n"/>
    </row>
    <row r="380">
      <c r="A380" s="173" t="n"/>
      <c r="B380" s="164" t="n"/>
      <c r="C380" s="164" t="n"/>
      <c r="D380" s="164" t="n"/>
      <c r="E380" s="164" t="n"/>
      <c r="F380" s="164" t="n"/>
      <c r="G380" s="164" t="n"/>
      <c r="H380" s="164" t="n"/>
      <c r="I380" s="166" t="n"/>
      <c r="J380" s="166" t="n"/>
      <c r="K380" s="166" t="n"/>
      <c r="L380" s="168" t="n"/>
      <c r="M380" s="167">
        <f>H380*I380+J380+K380</f>
        <v/>
      </c>
      <c r="N380" s="167">
        <f>M380*L380</f>
        <v/>
      </c>
      <c r="O380" s="167">
        <f>M380+N380</f>
        <v/>
      </c>
      <c r="P380" s="164" t="n"/>
    </row>
    <row r="381">
      <c r="A381" s="173" t="n"/>
      <c r="B381" s="164" t="n"/>
      <c r="C381" s="164" t="n"/>
      <c r="D381" s="164" t="n"/>
      <c r="E381" s="164" t="n"/>
      <c r="F381" s="164" t="n"/>
      <c r="G381" s="164" t="n"/>
      <c r="H381" s="164" t="n"/>
      <c r="I381" s="166" t="n"/>
      <c r="J381" s="166" t="n"/>
      <c r="K381" s="166" t="n"/>
      <c r="L381" s="168" t="n"/>
      <c r="M381" s="167">
        <f>H381*I381+J381+K381</f>
        <v/>
      </c>
      <c r="N381" s="167">
        <f>M381*L381</f>
        <v/>
      </c>
      <c r="O381" s="167">
        <f>M381+N381</f>
        <v/>
      </c>
      <c r="P381" s="164" t="n"/>
    </row>
    <row r="382">
      <c r="A382" s="173" t="n"/>
      <c r="B382" s="164" t="n"/>
      <c r="C382" s="164" t="n"/>
      <c r="D382" s="164" t="n"/>
      <c r="E382" s="164" t="n"/>
      <c r="F382" s="164" t="n"/>
      <c r="G382" s="164" t="n"/>
      <c r="H382" s="164" t="n"/>
      <c r="I382" s="166" t="n"/>
      <c r="J382" s="166" t="n"/>
      <c r="K382" s="166" t="n"/>
      <c r="L382" s="168" t="n"/>
      <c r="M382" s="167">
        <f>H382*I382+J382+K382</f>
        <v/>
      </c>
      <c r="N382" s="167">
        <f>M382*L382</f>
        <v/>
      </c>
      <c r="O382" s="167">
        <f>M382+N382</f>
        <v/>
      </c>
      <c r="P382" s="164" t="n"/>
    </row>
    <row r="383">
      <c r="A383" s="173" t="n"/>
      <c r="B383" s="164" t="n"/>
      <c r="C383" s="164" t="n"/>
      <c r="D383" s="164" t="n"/>
      <c r="E383" s="164" t="n"/>
      <c r="F383" s="164" t="n"/>
      <c r="G383" s="164" t="n"/>
      <c r="H383" s="164" t="n"/>
      <c r="I383" s="166" t="n"/>
      <c r="J383" s="166" t="n"/>
      <c r="K383" s="166" t="n"/>
      <c r="L383" s="168" t="n"/>
      <c r="M383" s="167">
        <f>H383*I383+J383+K383</f>
        <v/>
      </c>
      <c r="N383" s="167">
        <f>M383*L383</f>
        <v/>
      </c>
      <c r="O383" s="167">
        <f>M383+N383</f>
        <v/>
      </c>
      <c r="P383" s="164" t="n"/>
    </row>
    <row r="384">
      <c r="A384" s="173" t="n"/>
      <c r="B384" s="164" t="n"/>
      <c r="C384" s="164" t="n"/>
      <c r="D384" s="164" t="n"/>
      <c r="E384" s="164" t="n"/>
      <c r="F384" s="164" t="n"/>
      <c r="G384" s="164" t="n"/>
      <c r="H384" s="164" t="n"/>
      <c r="I384" s="166" t="n"/>
      <c r="J384" s="166" t="n"/>
      <c r="K384" s="166" t="n"/>
      <c r="L384" s="168" t="n"/>
      <c r="M384" s="167">
        <f>H384*I384+J384+K384</f>
        <v/>
      </c>
      <c r="N384" s="167">
        <f>M384*L384</f>
        <v/>
      </c>
      <c r="O384" s="167">
        <f>M384+N384</f>
        <v/>
      </c>
      <c r="P384" s="164" t="n"/>
    </row>
    <row r="385">
      <c r="A385" s="173" t="n"/>
      <c r="B385" s="164" t="n"/>
      <c r="C385" s="164" t="n"/>
      <c r="D385" s="164" t="n"/>
      <c r="E385" s="164" t="n"/>
      <c r="F385" s="164" t="n"/>
      <c r="G385" s="164" t="n"/>
      <c r="H385" s="164" t="n"/>
      <c r="I385" s="166" t="n"/>
      <c r="J385" s="166" t="n"/>
      <c r="K385" s="166" t="n"/>
      <c r="L385" s="168" t="n"/>
      <c r="M385" s="167">
        <f>H385*I385+J385+K385</f>
        <v/>
      </c>
      <c r="N385" s="167">
        <f>M385*L385</f>
        <v/>
      </c>
      <c r="O385" s="167">
        <f>M385+N385</f>
        <v/>
      </c>
      <c r="P385" s="164" t="n"/>
    </row>
    <row r="386">
      <c r="A386" s="173" t="n"/>
      <c r="B386" s="164" t="n"/>
      <c r="C386" s="164" t="n"/>
      <c r="D386" s="164" t="n"/>
      <c r="E386" s="164" t="n"/>
      <c r="F386" s="164" t="n"/>
      <c r="G386" s="164" t="n"/>
      <c r="H386" s="164" t="n"/>
      <c r="I386" s="166" t="n"/>
      <c r="J386" s="166" t="n"/>
      <c r="K386" s="166" t="n"/>
      <c r="L386" s="168" t="n"/>
      <c r="M386" s="167">
        <f>H386*I386+J386+K386</f>
        <v/>
      </c>
      <c r="N386" s="167">
        <f>M386*L386</f>
        <v/>
      </c>
      <c r="O386" s="167">
        <f>M386+N386</f>
        <v/>
      </c>
      <c r="P386" s="164" t="n"/>
    </row>
    <row r="387">
      <c r="A387" s="173" t="n"/>
      <c r="B387" s="164" t="n"/>
      <c r="C387" s="164" t="n"/>
      <c r="D387" s="164" t="n"/>
      <c r="E387" s="164" t="n"/>
      <c r="F387" s="164" t="n"/>
      <c r="G387" s="164" t="n"/>
      <c r="H387" s="164" t="n"/>
      <c r="I387" s="166" t="n"/>
      <c r="J387" s="166" t="n"/>
      <c r="K387" s="166" t="n"/>
      <c r="L387" s="168" t="n"/>
      <c r="M387" s="167">
        <f>H387*I387+J387+K387</f>
        <v/>
      </c>
      <c r="N387" s="167">
        <f>M387*L387</f>
        <v/>
      </c>
      <c r="O387" s="167">
        <f>M387+N387</f>
        <v/>
      </c>
      <c r="P387" s="164" t="n"/>
    </row>
    <row r="388">
      <c r="A388" s="173" t="n"/>
      <c r="B388" s="164" t="n"/>
      <c r="C388" s="164" t="n"/>
      <c r="D388" s="164" t="n"/>
      <c r="E388" s="164" t="n"/>
      <c r="F388" s="164" t="n"/>
      <c r="G388" s="164" t="n"/>
      <c r="H388" s="164" t="n"/>
      <c r="I388" s="166" t="n"/>
      <c r="J388" s="166" t="n"/>
      <c r="K388" s="166" t="n"/>
      <c r="L388" s="168" t="n"/>
      <c r="M388" s="167">
        <f>H388*I388+J388+K388</f>
        <v/>
      </c>
      <c r="N388" s="167">
        <f>M388*L388</f>
        <v/>
      </c>
      <c r="O388" s="167">
        <f>M388+N388</f>
        <v/>
      </c>
      <c r="P388" s="164" t="n"/>
    </row>
    <row r="389">
      <c r="A389" s="173" t="n"/>
      <c r="B389" s="164" t="n"/>
      <c r="C389" s="164" t="n"/>
      <c r="D389" s="164" t="n"/>
      <c r="E389" s="164" t="n"/>
      <c r="F389" s="164" t="n"/>
      <c r="G389" s="164" t="n"/>
      <c r="H389" s="164" t="n"/>
      <c r="I389" s="166" t="n"/>
      <c r="J389" s="166" t="n"/>
      <c r="K389" s="166" t="n"/>
      <c r="L389" s="168" t="n"/>
      <c r="M389" s="167">
        <f>H389*I389+J389+K389</f>
        <v/>
      </c>
      <c r="N389" s="167">
        <f>M389*L389</f>
        <v/>
      </c>
      <c r="O389" s="167">
        <f>M389+N389</f>
        <v/>
      </c>
      <c r="P389" s="164" t="n"/>
    </row>
    <row r="390">
      <c r="A390" s="173" t="n"/>
      <c r="B390" s="164" t="n"/>
      <c r="C390" s="164" t="n"/>
      <c r="D390" s="164" t="n"/>
      <c r="E390" s="164" t="n"/>
      <c r="F390" s="164" t="n"/>
      <c r="G390" s="164" t="n"/>
      <c r="H390" s="164" t="n"/>
      <c r="I390" s="166" t="n"/>
      <c r="J390" s="166" t="n"/>
      <c r="K390" s="166" t="n"/>
      <c r="L390" s="168" t="n"/>
      <c r="M390" s="167">
        <f>H390*I390+J390+K390</f>
        <v/>
      </c>
      <c r="N390" s="167">
        <f>M390*L390</f>
        <v/>
      </c>
      <c r="O390" s="167">
        <f>M390+N390</f>
        <v/>
      </c>
      <c r="P390" s="164" t="n"/>
    </row>
    <row r="391">
      <c r="A391" s="173" t="n"/>
      <c r="B391" s="164" t="n"/>
      <c r="C391" s="164" t="n"/>
      <c r="D391" s="164" t="n"/>
      <c r="E391" s="164" t="n"/>
      <c r="F391" s="164" t="n"/>
      <c r="G391" s="164" t="n"/>
      <c r="H391" s="164" t="n"/>
      <c r="I391" s="166" t="n"/>
      <c r="J391" s="166" t="n"/>
      <c r="K391" s="166" t="n"/>
      <c r="L391" s="168" t="n"/>
      <c r="M391" s="167">
        <f>H391*I391+J391+K391</f>
        <v/>
      </c>
      <c r="N391" s="167">
        <f>M391*L391</f>
        <v/>
      </c>
      <c r="O391" s="167">
        <f>M391+N391</f>
        <v/>
      </c>
      <c r="P391" s="164" t="n"/>
    </row>
    <row r="392">
      <c r="A392" s="173" t="n"/>
      <c r="B392" s="164" t="n"/>
      <c r="C392" s="164" t="n"/>
      <c r="D392" s="164" t="n"/>
      <c r="E392" s="164" t="n"/>
      <c r="F392" s="164" t="n"/>
      <c r="G392" s="164" t="n"/>
      <c r="H392" s="164" t="n"/>
      <c r="I392" s="166" t="n"/>
      <c r="J392" s="166" t="n"/>
      <c r="K392" s="166" t="n"/>
      <c r="L392" s="168" t="n"/>
      <c r="M392" s="167">
        <f>H392*I392+J392+K392</f>
        <v/>
      </c>
      <c r="N392" s="167">
        <f>M392*L392</f>
        <v/>
      </c>
      <c r="O392" s="167">
        <f>M392+N392</f>
        <v/>
      </c>
      <c r="P392" s="164" t="n"/>
    </row>
    <row r="393">
      <c r="A393" s="173" t="n"/>
      <c r="B393" s="164" t="n"/>
      <c r="C393" s="164" t="n"/>
      <c r="D393" s="164" t="n"/>
      <c r="E393" s="164" t="n"/>
      <c r="F393" s="164" t="n"/>
      <c r="G393" s="164" t="n"/>
      <c r="H393" s="164" t="n"/>
      <c r="I393" s="166" t="n"/>
      <c r="J393" s="166" t="n"/>
      <c r="K393" s="166" t="n"/>
      <c r="L393" s="168" t="n"/>
      <c r="M393" s="167">
        <f>H393*I393+J393+K393</f>
        <v/>
      </c>
      <c r="N393" s="167">
        <f>M393*L393</f>
        <v/>
      </c>
      <c r="O393" s="167">
        <f>M393+N393</f>
        <v/>
      </c>
      <c r="P393" s="164" t="n"/>
    </row>
    <row r="394">
      <c r="A394" s="173" t="n"/>
      <c r="B394" s="164" t="n"/>
      <c r="C394" s="164" t="n"/>
      <c r="D394" s="164" t="n"/>
      <c r="E394" s="164" t="n"/>
      <c r="F394" s="164" t="n"/>
      <c r="G394" s="164" t="n"/>
      <c r="H394" s="164" t="n"/>
      <c r="I394" s="166" t="n"/>
      <c r="J394" s="166" t="n"/>
      <c r="K394" s="166" t="n"/>
      <c r="L394" s="168" t="n"/>
      <c r="M394" s="167">
        <f>H394*I394+J394+K394</f>
        <v/>
      </c>
      <c r="N394" s="167">
        <f>M394*L394</f>
        <v/>
      </c>
      <c r="O394" s="167">
        <f>M394+N394</f>
        <v/>
      </c>
      <c r="P394" s="164" t="n"/>
    </row>
    <row r="395">
      <c r="A395" s="173" t="n"/>
      <c r="B395" s="164" t="n"/>
      <c r="C395" s="164" t="n"/>
      <c r="D395" s="164" t="n"/>
      <c r="E395" s="164" t="n"/>
      <c r="F395" s="164" t="n"/>
      <c r="G395" s="164" t="n"/>
      <c r="H395" s="164" t="n"/>
      <c r="I395" s="166" t="n"/>
      <c r="J395" s="166" t="n"/>
      <c r="K395" s="166" t="n"/>
      <c r="L395" s="168" t="n"/>
      <c r="M395" s="167">
        <f>H395*I395+J395+K395</f>
        <v/>
      </c>
      <c r="N395" s="167">
        <f>M395*L395</f>
        <v/>
      </c>
      <c r="O395" s="167">
        <f>M395+N395</f>
        <v/>
      </c>
      <c r="P395" s="164" t="n"/>
    </row>
    <row r="396">
      <c r="A396" s="173" t="n"/>
      <c r="B396" s="164" t="n"/>
      <c r="C396" s="164" t="n"/>
      <c r="D396" s="164" t="n"/>
      <c r="E396" s="164" t="n"/>
      <c r="F396" s="164" t="n"/>
      <c r="G396" s="164" t="n"/>
      <c r="H396" s="164" t="n"/>
      <c r="I396" s="166" t="n"/>
      <c r="J396" s="166" t="n"/>
      <c r="K396" s="166" t="n"/>
      <c r="L396" s="168" t="n"/>
      <c r="M396" s="167">
        <f>H396*I396+J396+K396</f>
        <v/>
      </c>
      <c r="N396" s="167">
        <f>M396*L396</f>
        <v/>
      </c>
      <c r="O396" s="167">
        <f>M396+N396</f>
        <v/>
      </c>
      <c r="P396" s="164" t="n"/>
    </row>
    <row r="397">
      <c r="A397" s="173" t="n"/>
      <c r="B397" s="164" t="n"/>
      <c r="C397" s="164" t="n"/>
      <c r="D397" s="164" t="n"/>
      <c r="E397" s="164" t="n"/>
      <c r="F397" s="164" t="n"/>
      <c r="G397" s="164" t="n"/>
      <c r="H397" s="164" t="n"/>
      <c r="I397" s="166" t="n"/>
      <c r="J397" s="166" t="n"/>
      <c r="K397" s="166" t="n"/>
      <c r="L397" s="168" t="n"/>
      <c r="M397" s="167">
        <f>H397*I397+J397+K397</f>
        <v/>
      </c>
      <c r="N397" s="167">
        <f>M397*L397</f>
        <v/>
      </c>
      <c r="O397" s="167">
        <f>M397+N397</f>
        <v/>
      </c>
      <c r="P397" s="164" t="n"/>
    </row>
    <row r="398">
      <c r="A398" s="173" t="n"/>
      <c r="B398" s="164" t="n"/>
      <c r="C398" s="164" t="n"/>
      <c r="D398" s="164" t="n"/>
      <c r="E398" s="164" t="n"/>
      <c r="F398" s="164" t="n"/>
      <c r="G398" s="164" t="n"/>
      <c r="H398" s="164" t="n"/>
      <c r="I398" s="166" t="n"/>
      <c r="J398" s="166" t="n"/>
      <c r="K398" s="166" t="n"/>
      <c r="L398" s="168" t="n"/>
      <c r="M398" s="167">
        <f>H398*I398+J398+K398</f>
        <v/>
      </c>
      <c r="N398" s="167">
        <f>M398*L398</f>
        <v/>
      </c>
      <c r="O398" s="167">
        <f>M398+N398</f>
        <v/>
      </c>
      <c r="P398" s="164" t="n"/>
    </row>
    <row r="399">
      <c r="A399" s="173" t="n"/>
      <c r="B399" s="164" t="n"/>
      <c r="C399" s="164" t="n"/>
      <c r="D399" s="164" t="n"/>
      <c r="E399" s="164" t="n"/>
      <c r="F399" s="164" t="n"/>
      <c r="G399" s="164" t="n"/>
      <c r="H399" s="164" t="n"/>
      <c r="I399" s="166" t="n"/>
      <c r="J399" s="166" t="n"/>
      <c r="K399" s="166" t="n"/>
      <c r="L399" s="168" t="n"/>
      <c r="M399" s="167">
        <f>H399*I399+J399+K399</f>
        <v/>
      </c>
      <c r="N399" s="167">
        <f>M399*L399</f>
        <v/>
      </c>
      <c r="O399" s="167">
        <f>M399+N399</f>
        <v/>
      </c>
      <c r="P399" s="164" t="n"/>
    </row>
    <row r="400">
      <c r="A400" s="173" t="n"/>
      <c r="B400" s="164" t="n"/>
      <c r="C400" s="164" t="n"/>
      <c r="D400" s="164" t="n"/>
      <c r="E400" s="164" t="n"/>
      <c r="F400" s="164" t="n"/>
      <c r="G400" s="164" t="n"/>
      <c r="H400" s="164" t="n"/>
      <c r="I400" s="166" t="n"/>
      <c r="J400" s="166" t="n"/>
      <c r="K400" s="166" t="n"/>
      <c r="L400" s="168" t="n"/>
      <c r="M400" s="167">
        <f>H400*I400+J400+K400</f>
        <v/>
      </c>
      <c r="N400" s="167">
        <f>M400*L400</f>
        <v/>
      </c>
      <c r="O400" s="167">
        <f>M400+N400</f>
        <v/>
      </c>
      <c r="P400" s="164" t="n"/>
    </row>
    <row r="401">
      <c r="A401" s="173" t="n"/>
      <c r="B401" s="164" t="n"/>
      <c r="C401" s="164" t="n"/>
      <c r="D401" s="164" t="n"/>
      <c r="E401" s="164" t="n"/>
      <c r="F401" s="164" t="n"/>
      <c r="G401" s="164" t="n"/>
      <c r="H401" s="164" t="n"/>
      <c r="I401" s="166" t="n"/>
      <c r="J401" s="166" t="n"/>
      <c r="K401" s="166" t="n"/>
      <c r="L401" s="168" t="n"/>
      <c r="M401" s="167">
        <f>H401*I401+J401+K401</f>
        <v/>
      </c>
      <c r="N401" s="167">
        <f>M401*L401</f>
        <v/>
      </c>
      <c r="O401" s="167">
        <f>M401+N401</f>
        <v/>
      </c>
      <c r="P401" s="164" t="n"/>
    </row>
    <row r="402">
      <c r="A402" s="173" t="n"/>
      <c r="B402" s="164" t="n"/>
      <c r="C402" s="164" t="n"/>
      <c r="D402" s="164" t="n"/>
      <c r="E402" s="164" t="n"/>
      <c r="F402" s="164" t="n"/>
      <c r="G402" s="164" t="n"/>
      <c r="H402" s="164" t="n"/>
      <c r="I402" s="166" t="n"/>
      <c r="J402" s="166" t="n"/>
      <c r="K402" s="166" t="n"/>
      <c r="L402" s="168" t="n"/>
      <c r="M402" s="167">
        <f>H402*I402+J402+K402</f>
        <v/>
      </c>
      <c r="N402" s="167">
        <f>M402*L402</f>
        <v/>
      </c>
      <c r="O402" s="167">
        <f>M402+N402</f>
        <v/>
      </c>
      <c r="P402" s="164" t="n"/>
    </row>
    <row r="403">
      <c r="A403" s="173" t="n"/>
      <c r="B403" s="164" t="n"/>
      <c r="C403" s="164" t="n"/>
      <c r="D403" s="164" t="n"/>
      <c r="E403" s="164" t="n"/>
      <c r="F403" s="164" t="n"/>
      <c r="G403" s="164" t="n"/>
      <c r="H403" s="164" t="n"/>
      <c r="I403" s="166" t="n"/>
      <c r="J403" s="166" t="n"/>
      <c r="K403" s="166" t="n"/>
      <c r="L403" s="168" t="n"/>
      <c r="M403" s="167">
        <f>H403*I403+J403+K403</f>
        <v/>
      </c>
      <c r="N403" s="167">
        <f>M403*L403</f>
        <v/>
      </c>
      <c r="O403" s="167">
        <f>M403+N403</f>
        <v/>
      </c>
      <c r="P403" s="164" t="n"/>
    </row>
    <row r="404">
      <c r="A404" s="173" t="n"/>
      <c r="B404" s="164" t="n"/>
      <c r="C404" s="164" t="n"/>
      <c r="D404" s="164" t="n"/>
      <c r="E404" s="164" t="n"/>
      <c r="F404" s="164" t="n"/>
      <c r="G404" s="164" t="n"/>
      <c r="H404" s="164" t="n"/>
      <c r="I404" s="166" t="n"/>
      <c r="J404" s="166" t="n"/>
      <c r="K404" s="166" t="n"/>
      <c r="L404" s="168" t="n"/>
      <c r="M404" s="167">
        <f>H404*I404+J404+K404</f>
        <v/>
      </c>
      <c r="N404" s="167">
        <f>M404*L404</f>
        <v/>
      </c>
      <c r="O404" s="167">
        <f>M404+N404</f>
        <v/>
      </c>
      <c r="P404" s="164" t="n"/>
    </row>
    <row r="405">
      <c r="A405" s="173" t="n"/>
      <c r="B405" s="164" t="n"/>
      <c r="C405" s="164" t="n"/>
      <c r="D405" s="164" t="n"/>
      <c r="E405" s="164" t="n"/>
      <c r="F405" s="164" t="n"/>
      <c r="G405" s="164" t="n"/>
      <c r="H405" s="164" t="n"/>
      <c r="I405" s="166" t="n"/>
      <c r="J405" s="166" t="n"/>
      <c r="K405" s="166" t="n"/>
      <c r="L405" s="168" t="n"/>
      <c r="M405" s="167">
        <f>H405*I405+J405+K405</f>
        <v/>
      </c>
      <c r="N405" s="167">
        <f>M405*L405</f>
        <v/>
      </c>
      <c r="O405" s="167">
        <f>M405+N405</f>
        <v/>
      </c>
      <c r="P405" s="164" t="n"/>
    </row>
    <row r="406">
      <c r="A406" s="173" t="n"/>
      <c r="B406" s="164" t="n"/>
      <c r="C406" s="164" t="n"/>
      <c r="D406" s="164" t="n"/>
      <c r="E406" s="164" t="n"/>
      <c r="F406" s="164" t="n"/>
      <c r="G406" s="164" t="n"/>
      <c r="H406" s="164" t="n"/>
      <c r="I406" s="166" t="n"/>
      <c r="J406" s="166" t="n"/>
      <c r="K406" s="166" t="n"/>
      <c r="L406" s="168" t="n"/>
      <c r="M406" s="167">
        <f>H406*I406+J406+K406</f>
        <v/>
      </c>
      <c r="N406" s="167">
        <f>M406*L406</f>
        <v/>
      </c>
      <c r="O406" s="167">
        <f>M406+N406</f>
        <v/>
      </c>
      <c r="P406" s="164" t="n"/>
    </row>
    <row r="407">
      <c r="A407" s="173" t="n"/>
      <c r="B407" s="164" t="n"/>
      <c r="C407" s="164" t="n"/>
      <c r="D407" s="164" t="n"/>
      <c r="E407" s="164" t="n"/>
      <c r="F407" s="164" t="n"/>
      <c r="G407" s="164" t="n"/>
      <c r="H407" s="164" t="n"/>
      <c r="I407" s="166" t="n"/>
      <c r="J407" s="166" t="n"/>
      <c r="K407" s="166" t="n"/>
      <c r="L407" s="168" t="n"/>
      <c r="M407" s="167">
        <f>H407*I407+J407+K407</f>
        <v/>
      </c>
      <c r="N407" s="167">
        <f>M407*L407</f>
        <v/>
      </c>
      <c r="O407" s="167">
        <f>M407+N407</f>
        <v/>
      </c>
      <c r="P407" s="164" t="n"/>
    </row>
    <row r="408">
      <c r="A408" s="173" t="n"/>
      <c r="B408" s="164" t="n"/>
      <c r="C408" s="164" t="n"/>
      <c r="D408" s="164" t="n"/>
      <c r="E408" s="164" t="n"/>
      <c r="F408" s="164" t="n"/>
      <c r="G408" s="164" t="n"/>
      <c r="H408" s="164" t="n"/>
      <c r="I408" s="166" t="n"/>
      <c r="J408" s="166" t="n"/>
      <c r="K408" s="166" t="n"/>
      <c r="L408" s="168" t="n"/>
      <c r="M408" s="167">
        <f>H408*I408+J408+K408</f>
        <v/>
      </c>
      <c r="N408" s="167">
        <f>M408*L408</f>
        <v/>
      </c>
      <c r="O408" s="167">
        <f>M408+N408</f>
        <v/>
      </c>
      <c r="P408" s="164" t="n"/>
    </row>
    <row r="409">
      <c r="A409" s="173" t="n"/>
      <c r="B409" s="164" t="n"/>
      <c r="C409" s="164" t="n"/>
      <c r="D409" s="164" t="n"/>
      <c r="E409" s="164" t="n"/>
      <c r="F409" s="164" t="n"/>
      <c r="G409" s="164" t="n"/>
      <c r="H409" s="164" t="n"/>
      <c r="I409" s="166" t="n"/>
      <c r="J409" s="166" t="n"/>
      <c r="K409" s="166" t="n"/>
      <c r="L409" s="168" t="n"/>
      <c r="M409" s="167">
        <f>H409*I409+J409+K409</f>
        <v/>
      </c>
      <c r="N409" s="167">
        <f>M409*L409</f>
        <v/>
      </c>
      <c r="O409" s="167">
        <f>M409+N409</f>
        <v/>
      </c>
      <c r="P409" s="164" t="n"/>
    </row>
    <row r="410">
      <c r="A410" s="173" t="n"/>
      <c r="B410" s="164" t="n"/>
      <c r="C410" s="164" t="n"/>
      <c r="D410" s="164" t="n"/>
      <c r="E410" s="164" t="n"/>
      <c r="F410" s="164" t="n"/>
      <c r="G410" s="164" t="n"/>
      <c r="H410" s="164" t="n"/>
      <c r="I410" s="166" t="n"/>
      <c r="J410" s="166" t="n"/>
      <c r="K410" s="166" t="n"/>
      <c r="L410" s="168" t="n"/>
      <c r="M410" s="167">
        <f>H410*I410+J410+K410</f>
        <v/>
      </c>
      <c r="N410" s="167">
        <f>M410*L410</f>
        <v/>
      </c>
      <c r="O410" s="167">
        <f>M410+N410</f>
        <v/>
      </c>
      <c r="P410" s="164" t="n"/>
    </row>
    <row r="411">
      <c r="A411" s="173" t="n"/>
      <c r="B411" s="164" t="n"/>
      <c r="C411" s="164" t="n"/>
      <c r="D411" s="164" t="n"/>
      <c r="E411" s="164" t="n"/>
      <c r="F411" s="164" t="n"/>
      <c r="G411" s="164" t="n"/>
      <c r="H411" s="164" t="n"/>
      <c r="I411" s="166" t="n"/>
      <c r="J411" s="166" t="n"/>
      <c r="K411" s="166" t="n"/>
      <c r="L411" s="168" t="n"/>
      <c r="M411" s="167">
        <f>H411*I411+J411+K411</f>
        <v/>
      </c>
      <c r="N411" s="167">
        <f>M411*L411</f>
        <v/>
      </c>
      <c r="O411" s="167">
        <f>M411+N411</f>
        <v/>
      </c>
      <c r="P411" s="164" t="n"/>
    </row>
    <row r="412">
      <c r="A412" s="173" t="n"/>
      <c r="B412" s="164" t="n"/>
      <c r="C412" s="164" t="n"/>
      <c r="D412" s="164" t="n"/>
      <c r="E412" s="164" t="n"/>
      <c r="F412" s="164" t="n"/>
      <c r="G412" s="164" t="n"/>
      <c r="H412" s="164" t="n"/>
      <c r="I412" s="166" t="n"/>
      <c r="J412" s="166" t="n"/>
      <c r="K412" s="166" t="n"/>
      <c r="L412" s="168" t="n"/>
      <c r="M412" s="167">
        <f>H412*I412+J412+K412</f>
        <v/>
      </c>
      <c r="N412" s="167">
        <f>M412*L412</f>
        <v/>
      </c>
      <c r="O412" s="167">
        <f>M412+N412</f>
        <v/>
      </c>
      <c r="P412" s="164" t="n"/>
    </row>
    <row r="413">
      <c r="A413" s="173" t="n"/>
      <c r="B413" s="164" t="n"/>
      <c r="C413" s="164" t="n"/>
      <c r="D413" s="164" t="n"/>
      <c r="E413" s="164" t="n"/>
      <c r="F413" s="164" t="n"/>
      <c r="G413" s="164" t="n"/>
      <c r="H413" s="164" t="n"/>
      <c r="I413" s="166" t="n"/>
      <c r="J413" s="166" t="n"/>
      <c r="K413" s="166" t="n"/>
      <c r="L413" s="168" t="n"/>
      <c r="M413" s="167">
        <f>H413*I413+J413+K413</f>
        <v/>
      </c>
      <c r="N413" s="167">
        <f>M413*L413</f>
        <v/>
      </c>
      <c r="O413" s="167">
        <f>M413+N413</f>
        <v/>
      </c>
      <c r="P413" s="164" t="n"/>
    </row>
    <row r="414">
      <c r="A414" s="173" t="n"/>
      <c r="B414" s="164" t="n"/>
      <c r="C414" s="164" t="n"/>
      <c r="D414" s="164" t="n"/>
      <c r="E414" s="164" t="n"/>
      <c r="F414" s="164" t="n"/>
      <c r="G414" s="164" t="n"/>
      <c r="H414" s="164" t="n"/>
      <c r="I414" s="166" t="n"/>
      <c r="J414" s="166" t="n"/>
      <c r="K414" s="166" t="n"/>
      <c r="L414" s="168" t="n"/>
      <c r="M414" s="167">
        <f>H414*I414+J414+K414</f>
        <v/>
      </c>
      <c r="N414" s="167">
        <f>M414*L414</f>
        <v/>
      </c>
      <c r="O414" s="167">
        <f>M414+N414</f>
        <v/>
      </c>
      <c r="P414" s="164" t="n"/>
    </row>
    <row r="415">
      <c r="A415" s="173" t="n"/>
      <c r="B415" s="164" t="n"/>
      <c r="C415" s="164" t="n"/>
      <c r="D415" s="164" t="n"/>
      <c r="E415" s="164" t="n"/>
      <c r="F415" s="164" t="n"/>
      <c r="G415" s="164" t="n"/>
      <c r="H415" s="164" t="n"/>
      <c r="I415" s="166" t="n"/>
      <c r="J415" s="166" t="n"/>
      <c r="K415" s="166" t="n"/>
      <c r="L415" s="168" t="n"/>
      <c r="M415" s="167">
        <f>H415*I415+J415+K415</f>
        <v/>
      </c>
      <c r="N415" s="167">
        <f>M415*L415</f>
        <v/>
      </c>
      <c r="O415" s="167">
        <f>M415+N415</f>
        <v/>
      </c>
      <c r="P415" s="164" t="n"/>
    </row>
    <row r="416">
      <c r="A416" s="173" t="n"/>
      <c r="B416" s="164" t="n"/>
      <c r="C416" s="164" t="n"/>
      <c r="D416" s="164" t="n"/>
      <c r="E416" s="164" t="n"/>
      <c r="F416" s="164" t="n"/>
      <c r="G416" s="164" t="n"/>
      <c r="H416" s="164" t="n"/>
      <c r="I416" s="166" t="n"/>
      <c r="J416" s="166" t="n"/>
      <c r="K416" s="166" t="n"/>
      <c r="L416" s="168" t="n"/>
      <c r="M416" s="167">
        <f>H416*I416+J416+K416</f>
        <v/>
      </c>
      <c r="N416" s="167">
        <f>M416*L416</f>
        <v/>
      </c>
      <c r="O416" s="167">
        <f>M416+N416</f>
        <v/>
      </c>
      <c r="P416" s="164" t="n"/>
    </row>
    <row r="417">
      <c r="A417" s="173" t="n"/>
      <c r="B417" s="164" t="n"/>
      <c r="C417" s="164" t="n"/>
      <c r="D417" s="164" t="n"/>
      <c r="E417" s="164" t="n"/>
      <c r="F417" s="164" t="n"/>
      <c r="G417" s="164" t="n"/>
      <c r="H417" s="164" t="n"/>
      <c r="I417" s="166" t="n"/>
      <c r="J417" s="166" t="n"/>
      <c r="K417" s="166" t="n"/>
      <c r="L417" s="168" t="n"/>
      <c r="M417" s="167">
        <f>H417*I417+J417+K417</f>
        <v/>
      </c>
      <c r="N417" s="167">
        <f>M417*L417</f>
        <v/>
      </c>
      <c r="O417" s="167">
        <f>M417+N417</f>
        <v/>
      </c>
      <c r="P417" s="164" t="n"/>
    </row>
    <row r="418">
      <c r="A418" s="173" t="n"/>
      <c r="B418" s="164" t="n"/>
      <c r="C418" s="164" t="n"/>
      <c r="D418" s="164" t="n"/>
      <c r="E418" s="164" t="n"/>
      <c r="F418" s="164" t="n"/>
      <c r="G418" s="164" t="n"/>
      <c r="H418" s="164" t="n"/>
      <c r="I418" s="166" t="n"/>
      <c r="J418" s="166" t="n"/>
      <c r="K418" s="166" t="n"/>
      <c r="L418" s="168" t="n"/>
      <c r="M418" s="167">
        <f>H418*I418+J418+K418</f>
        <v/>
      </c>
      <c r="N418" s="167">
        <f>M418*L418</f>
        <v/>
      </c>
      <c r="O418" s="167">
        <f>M418+N418</f>
        <v/>
      </c>
      <c r="P418" s="164" t="n"/>
    </row>
    <row r="419">
      <c r="A419" s="173" t="n"/>
      <c r="B419" s="164" t="n"/>
      <c r="C419" s="164" t="n"/>
      <c r="D419" s="164" t="n"/>
      <c r="E419" s="164" t="n"/>
      <c r="F419" s="164" t="n"/>
      <c r="G419" s="164" t="n"/>
      <c r="H419" s="164" t="n"/>
      <c r="I419" s="166" t="n"/>
      <c r="J419" s="166" t="n"/>
      <c r="K419" s="166" t="n"/>
      <c r="L419" s="168" t="n"/>
      <c r="M419" s="167">
        <f>H419*I419+J419+K419</f>
        <v/>
      </c>
      <c r="N419" s="167">
        <f>M419*L419</f>
        <v/>
      </c>
      <c r="O419" s="167">
        <f>M419+N419</f>
        <v/>
      </c>
      <c r="P419" s="164" t="n"/>
    </row>
    <row r="420">
      <c r="A420" s="173" t="n"/>
      <c r="B420" s="164" t="n"/>
      <c r="C420" s="164" t="n"/>
      <c r="D420" s="164" t="n"/>
      <c r="E420" s="164" t="n"/>
      <c r="F420" s="164" t="n"/>
      <c r="G420" s="164" t="n"/>
      <c r="H420" s="164" t="n"/>
      <c r="I420" s="166" t="n"/>
      <c r="J420" s="166" t="n"/>
      <c r="K420" s="166" t="n"/>
      <c r="L420" s="168" t="n"/>
      <c r="M420" s="167">
        <f>H420*I420+J420+K420</f>
        <v/>
      </c>
      <c r="N420" s="167">
        <f>M420*L420</f>
        <v/>
      </c>
      <c r="O420" s="167">
        <f>M420+N420</f>
        <v/>
      </c>
      <c r="P420" s="164" t="n"/>
    </row>
    <row r="421">
      <c r="A421" s="173" t="n"/>
      <c r="B421" s="164" t="n"/>
      <c r="C421" s="164" t="n"/>
      <c r="D421" s="164" t="n"/>
      <c r="E421" s="164" t="n"/>
      <c r="F421" s="164" t="n"/>
      <c r="G421" s="164" t="n"/>
      <c r="H421" s="164" t="n"/>
      <c r="I421" s="166" t="n"/>
      <c r="J421" s="166" t="n"/>
      <c r="K421" s="166" t="n"/>
      <c r="L421" s="168" t="n"/>
      <c r="M421" s="167">
        <f>H421*I421+J421+K421</f>
        <v/>
      </c>
      <c r="N421" s="167">
        <f>M421*L421</f>
        <v/>
      </c>
      <c r="O421" s="167">
        <f>M421+N421</f>
        <v/>
      </c>
      <c r="P421" s="164" t="n"/>
    </row>
    <row r="422">
      <c r="A422" s="173" t="n"/>
      <c r="B422" s="164" t="n"/>
      <c r="C422" s="164" t="n"/>
      <c r="D422" s="164" t="n"/>
      <c r="E422" s="164" t="n"/>
      <c r="F422" s="164" t="n"/>
      <c r="G422" s="164" t="n"/>
      <c r="H422" s="164" t="n"/>
      <c r="I422" s="166" t="n"/>
      <c r="J422" s="166" t="n"/>
      <c r="K422" s="166" t="n"/>
      <c r="L422" s="168" t="n"/>
      <c r="M422" s="167">
        <f>H422*I422+J422+K422</f>
        <v/>
      </c>
      <c r="N422" s="167">
        <f>M422*L422</f>
        <v/>
      </c>
      <c r="O422" s="167">
        <f>M422+N422</f>
        <v/>
      </c>
      <c r="P422" s="164" t="n"/>
    </row>
    <row r="423">
      <c r="A423" s="173" t="n"/>
      <c r="B423" s="164" t="n"/>
      <c r="C423" s="164" t="n"/>
      <c r="D423" s="164" t="n"/>
      <c r="E423" s="164" t="n"/>
      <c r="F423" s="164" t="n"/>
      <c r="G423" s="164" t="n"/>
      <c r="H423" s="164" t="n"/>
      <c r="I423" s="166" t="n"/>
      <c r="J423" s="166" t="n"/>
      <c r="K423" s="166" t="n"/>
      <c r="L423" s="168" t="n"/>
      <c r="M423" s="167">
        <f>H423*I423+J423+K423</f>
        <v/>
      </c>
      <c r="N423" s="167">
        <f>M423*L423</f>
        <v/>
      </c>
      <c r="O423" s="167">
        <f>M423+N423</f>
        <v/>
      </c>
      <c r="P423" s="164" t="n"/>
    </row>
    <row r="424">
      <c r="A424" s="173" t="n"/>
      <c r="B424" s="164" t="n"/>
      <c r="C424" s="164" t="n"/>
      <c r="D424" s="164" t="n"/>
      <c r="E424" s="164" t="n"/>
      <c r="F424" s="164" t="n"/>
      <c r="G424" s="164" t="n"/>
      <c r="H424" s="164" t="n"/>
      <c r="I424" s="166" t="n"/>
      <c r="J424" s="166" t="n"/>
      <c r="K424" s="166" t="n"/>
      <c r="L424" s="168" t="n"/>
      <c r="M424" s="167">
        <f>H424*I424+J424+K424</f>
        <v/>
      </c>
      <c r="N424" s="167">
        <f>M424*L424</f>
        <v/>
      </c>
      <c r="O424" s="167">
        <f>M424+N424</f>
        <v/>
      </c>
      <c r="P424" s="164" t="n"/>
    </row>
    <row r="425">
      <c r="A425" s="173" t="n"/>
      <c r="B425" s="164" t="n"/>
      <c r="C425" s="164" t="n"/>
      <c r="D425" s="164" t="n"/>
      <c r="E425" s="164" t="n"/>
      <c r="F425" s="164" t="n"/>
      <c r="G425" s="164" t="n"/>
      <c r="H425" s="164" t="n"/>
      <c r="I425" s="166" t="n"/>
      <c r="J425" s="166" t="n"/>
      <c r="K425" s="166" t="n"/>
      <c r="L425" s="168" t="n"/>
      <c r="M425" s="167">
        <f>H425*I425+J425+K425</f>
        <v/>
      </c>
      <c r="N425" s="167">
        <f>M425*L425</f>
        <v/>
      </c>
      <c r="O425" s="167">
        <f>M425+N425</f>
        <v/>
      </c>
      <c r="P425" s="164" t="n"/>
    </row>
    <row r="426">
      <c r="A426" s="173" t="n"/>
      <c r="B426" s="164" t="n"/>
      <c r="C426" s="164" t="n"/>
      <c r="D426" s="164" t="n"/>
      <c r="E426" s="164" t="n"/>
      <c r="F426" s="164" t="n"/>
      <c r="G426" s="164" t="n"/>
      <c r="H426" s="164" t="n"/>
      <c r="I426" s="166" t="n"/>
      <c r="J426" s="166" t="n"/>
      <c r="K426" s="166" t="n"/>
      <c r="L426" s="168" t="n"/>
      <c r="M426" s="167">
        <f>H426*I426+J426+K426</f>
        <v/>
      </c>
      <c r="N426" s="167">
        <f>M426*L426</f>
        <v/>
      </c>
      <c r="O426" s="167">
        <f>M426+N426</f>
        <v/>
      </c>
      <c r="P426" s="164" t="n"/>
    </row>
    <row r="427">
      <c r="A427" s="173" t="n"/>
      <c r="B427" s="164" t="n"/>
      <c r="C427" s="164" t="n"/>
      <c r="D427" s="164" t="n"/>
      <c r="E427" s="164" t="n"/>
      <c r="F427" s="164" t="n"/>
      <c r="G427" s="164" t="n"/>
      <c r="H427" s="164" t="n"/>
      <c r="I427" s="166" t="n"/>
      <c r="J427" s="166" t="n"/>
      <c r="K427" s="166" t="n"/>
      <c r="L427" s="168" t="n"/>
      <c r="M427" s="167">
        <f>H427*I427+J427+K427</f>
        <v/>
      </c>
      <c r="N427" s="167">
        <f>M427*L427</f>
        <v/>
      </c>
      <c r="O427" s="167">
        <f>M427+N427</f>
        <v/>
      </c>
      <c r="P427" s="164" t="n"/>
    </row>
    <row r="428">
      <c r="A428" s="173" t="n"/>
      <c r="B428" s="164" t="n"/>
      <c r="C428" s="164" t="n"/>
      <c r="D428" s="164" t="n"/>
      <c r="E428" s="164" t="n"/>
      <c r="F428" s="164" t="n"/>
      <c r="G428" s="164" t="n"/>
      <c r="H428" s="164" t="n"/>
      <c r="I428" s="166" t="n"/>
      <c r="J428" s="166" t="n"/>
      <c r="K428" s="166" t="n"/>
      <c r="L428" s="168" t="n"/>
      <c r="M428" s="167">
        <f>H428*I428+J428+K428</f>
        <v/>
      </c>
      <c r="N428" s="167">
        <f>M428*L428</f>
        <v/>
      </c>
      <c r="O428" s="167">
        <f>M428+N428</f>
        <v/>
      </c>
      <c r="P428" s="164" t="n"/>
    </row>
    <row r="429">
      <c r="A429" s="173" t="n"/>
      <c r="B429" s="164" t="n"/>
      <c r="C429" s="164" t="n"/>
      <c r="D429" s="164" t="n"/>
      <c r="E429" s="164" t="n"/>
      <c r="F429" s="164" t="n"/>
      <c r="G429" s="164" t="n"/>
      <c r="H429" s="164" t="n"/>
      <c r="I429" s="166" t="n"/>
      <c r="J429" s="166" t="n"/>
      <c r="K429" s="166" t="n"/>
      <c r="L429" s="168" t="n"/>
      <c r="M429" s="167">
        <f>H429*I429+J429+K429</f>
        <v/>
      </c>
      <c r="N429" s="167">
        <f>M429*L429</f>
        <v/>
      </c>
      <c r="O429" s="167">
        <f>M429+N429</f>
        <v/>
      </c>
      <c r="P429" s="164" t="n"/>
    </row>
    <row r="430">
      <c r="A430" s="173" t="n"/>
      <c r="B430" s="164" t="n"/>
      <c r="C430" s="164" t="n"/>
      <c r="D430" s="164" t="n"/>
      <c r="E430" s="164" t="n"/>
      <c r="F430" s="164" t="n"/>
      <c r="G430" s="164" t="n"/>
      <c r="H430" s="164" t="n"/>
      <c r="I430" s="166" t="n"/>
      <c r="J430" s="166" t="n"/>
      <c r="K430" s="166" t="n"/>
      <c r="L430" s="168" t="n"/>
      <c r="M430" s="167">
        <f>H430*I430+J430+K430</f>
        <v/>
      </c>
      <c r="N430" s="167">
        <f>M430*L430</f>
        <v/>
      </c>
      <c r="O430" s="167">
        <f>M430+N430</f>
        <v/>
      </c>
      <c r="P430" s="164" t="n"/>
    </row>
    <row r="431">
      <c r="A431" s="173" t="n"/>
      <c r="B431" s="164" t="n"/>
      <c r="C431" s="164" t="n"/>
      <c r="D431" s="164" t="n"/>
      <c r="E431" s="164" t="n"/>
      <c r="F431" s="164" t="n"/>
      <c r="G431" s="164" t="n"/>
      <c r="H431" s="164" t="n"/>
      <c r="I431" s="166" t="n"/>
      <c r="J431" s="166" t="n"/>
      <c r="K431" s="166" t="n"/>
      <c r="L431" s="168" t="n"/>
      <c r="M431" s="167">
        <f>H431*I431+J431+K431</f>
        <v/>
      </c>
      <c r="N431" s="167">
        <f>M431*L431</f>
        <v/>
      </c>
      <c r="O431" s="167">
        <f>M431+N431</f>
        <v/>
      </c>
      <c r="P431" s="164" t="n"/>
    </row>
    <row r="432">
      <c r="A432" s="173" t="n"/>
      <c r="B432" s="164" t="n"/>
      <c r="C432" s="164" t="n"/>
      <c r="D432" s="164" t="n"/>
      <c r="E432" s="164" t="n"/>
      <c r="F432" s="164" t="n"/>
      <c r="G432" s="164" t="n"/>
      <c r="H432" s="164" t="n"/>
      <c r="I432" s="166" t="n"/>
      <c r="J432" s="166" t="n"/>
      <c r="K432" s="166" t="n"/>
      <c r="L432" s="168" t="n"/>
      <c r="M432" s="167">
        <f>H432*I432+J432+K432</f>
        <v/>
      </c>
      <c r="N432" s="167">
        <f>M432*L432</f>
        <v/>
      </c>
      <c r="O432" s="167">
        <f>M432+N432</f>
        <v/>
      </c>
      <c r="P432" s="164" t="n"/>
    </row>
    <row r="433">
      <c r="A433" s="173" t="n"/>
      <c r="B433" s="164" t="n"/>
      <c r="C433" s="164" t="n"/>
      <c r="D433" s="164" t="n"/>
      <c r="E433" s="164" t="n"/>
      <c r="F433" s="164" t="n"/>
      <c r="G433" s="164" t="n"/>
      <c r="H433" s="164" t="n"/>
      <c r="I433" s="166" t="n"/>
      <c r="J433" s="166" t="n"/>
      <c r="K433" s="166" t="n"/>
      <c r="L433" s="168" t="n"/>
      <c r="M433" s="167">
        <f>H433*I433+J433+K433</f>
        <v/>
      </c>
      <c r="N433" s="167">
        <f>M433*L433</f>
        <v/>
      </c>
      <c r="O433" s="167">
        <f>M433+N433</f>
        <v/>
      </c>
      <c r="P433" s="164" t="n"/>
    </row>
    <row r="434">
      <c r="A434" s="173" t="n"/>
      <c r="B434" s="164" t="n"/>
      <c r="C434" s="164" t="n"/>
      <c r="D434" s="164" t="n"/>
      <c r="E434" s="164" t="n"/>
      <c r="F434" s="164" t="n"/>
      <c r="G434" s="164" t="n"/>
      <c r="H434" s="164" t="n"/>
      <c r="I434" s="166" t="n"/>
      <c r="J434" s="166" t="n"/>
      <c r="K434" s="166" t="n"/>
      <c r="L434" s="168" t="n"/>
      <c r="M434" s="167">
        <f>H434*I434+J434+K434</f>
        <v/>
      </c>
      <c r="N434" s="167">
        <f>M434*L434</f>
        <v/>
      </c>
      <c r="O434" s="167">
        <f>M434+N434</f>
        <v/>
      </c>
      <c r="P434" s="164" t="n"/>
    </row>
    <row r="435">
      <c r="A435" s="173" t="n"/>
      <c r="B435" s="164" t="n"/>
      <c r="C435" s="164" t="n"/>
      <c r="D435" s="164" t="n"/>
      <c r="E435" s="164" t="n"/>
      <c r="F435" s="164" t="n"/>
      <c r="G435" s="164" t="n"/>
      <c r="H435" s="164" t="n"/>
      <c r="I435" s="166" t="n"/>
      <c r="J435" s="166" t="n"/>
      <c r="K435" s="166" t="n"/>
      <c r="L435" s="168" t="n"/>
      <c r="M435" s="167">
        <f>H435*I435+J435+K435</f>
        <v/>
      </c>
      <c r="N435" s="167">
        <f>M435*L435</f>
        <v/>
      </c>
      <c r="O435" s="167">
        <f>M435+N435</f>
        <v/>
      </c>
      <c r="P435" s="164" t="n"/>
    </row>
    <row r="436">
      <c r="A436" s="173" t="n"/>
      <c r="B436" s="164" t="n"/>
      <c r="C436" s="164" t="n"/>
      <c r="D436" s="164" t="n"/>
      <c r="E436" s="164" t="n"/>
      <c r="F436" s="164" t="n"/>
      <c r="G436" s="164" t="n"/>
      <c r="H436" s="164" t="n"/>
      <c r="I436" s="166" t="n"/>
      <c r="J436" s="166" t="n"/>
      <c r="K436" s="166" t="n"/>
      <c r="L436" s="168" t="n"/>
      <c r="M436" s="167">
        <f>H436*I436+J436+K436</f>
        <v/>
      </c>
      <c r="N436" s="167">
        <f>M436*L436</f>
        <v/>
      </c>
      <c r="O436" s="167">
        <f>M436+N436</f>
        <v/>
      </c>
      <c r="P436" s="164" t="n"/>
    </row>
    <row r="437">
      <c r="A437" s="173" t="n"/>
      <c r="B437" s="164" t="n"/>
      <c r="C437" s="164" t="n"/>
      <c r="D437" s="164" t="n"/>
      <c r="E437" s="164" t="n"/>
      <c r="F437" s="164" t="n"/>
      <c r="G437" s="164" t="n"/>
      <c r="H437" s="164" t="n"/>
      <c r="I437" s="166" t="n"/>
      <c r="J437" s="166" t="n"/>
      <c r="K437" s="166" t="n"/>
      <c r="L437" s="168" t="n"/>
      <c r="M437" s="167">
        <f>H437*I437+J437+K437</f>
        <v/>
      </c>
      <c r="N437" s="167">
        <f>M437*L437</f>
        <v/>
      </c>
      <c r="O437" s="167">
        <f>M437+N437</f>
        <v/>
      </c>
      <c r="P437" s="164" t="n"/>
    </row>
    <row r="438">
      <c r="A438" s="173" t="n"/>
      <c r="B438" s="164" t="n"/>
      <c r="C438" s="164" t="n"/>
      <c r="D438" s="164" t="n"/>
      <c r="E438" s="164" t="n"/>
      <c r="F438" s="164" t="n"/>
      <c r="G438" s="164" t="n"/>
      <c r="H438" s="164" t="n"/>
      <c r="I438" s="166" t="n"/>
      <c r="J438" s="166" t="n"/>
      <c r="K438" s="166" t="n"/>
      <c r="L438" s="168" t="n"/>
      <c r="M438" s="167">
        <f>H438*I438+J438+K438</f>
        <v/>
      </c>
      <c r="N438" s="167">
        <f>M438*L438</f>
        <v/>
      </c>
      <c r="O438" s="167">
        <f>M438+N438</f>
        <v/>
      </c>
      <c r="P438" s="164" t="n"/>
    </row>
    <row r="439">
      <c r="A439" s="173" t="n"/>
      <c r="B439" s="164" t="n"/>
      <c r="C439" s="164" t="n"/>
      <c r="D439" s="164" t="n"/>
      <c r="E439" s="164" t="n"/>
      <c r="F439" s="164" t="n"/>
      <c r="G439" s="164" t="n"/>
      <c r="H439" s="164" t="n"/>
      <c r="I439" s="166" t="n"/>
      <c r="J439" s="166" t="n"/>
      <c r="K439" s="166" t="n"/>
      <c r="L439" s="168" t="n"/>
      <c r="M439" s="167">
        <f>H439*I439+J439+K439</f>
        <v/>
      </c>
      <c r="N439" s="167">
        <f>M439*L439</f>
        <v/>
      </c>
      <c r="O439" s="167">
        <f>M439+N439</f>
        <v/>
      </c>
      <c r="P439" s="164" t="n"/>
    </row>
    <row r="440">
      <c r="A440" s="173" t="n"/>
      <c r="B440" s="164" t="n"/>
      <c r="C440" s="164" t="n"/>
      <c r="D440" s="164" t="n"/>
      <c r="E440" s="164" t="n"/>
      <c r="F440" s="164" t="n"/>
      <c r="G440" s="164" t="n"/>
      <c r="H440" s="164" t="n"/>
      <c r="I440" s="166" t="n"/>
      <c r="J440" s="166" t="n"/>
      <c r="K440" s="166" t="n"/>
      <c r="L440" s="168" t="n"/>
      <c r="M440" s="167">
        <f>H440*I440+J440+K440</f>
        <v/>
      </c>
      <c r="N440" s="167">
        <f>M440*L440</f>
        <v/>
      </c>
      <c r="O440" s="167">
        <f>M440+N440</f>
        <v/>
      </c>
      <c r="P440" s="164" t="n"/>
    </row>
    <row r="441">
      <c r="A441" s="173" t="n"/>
      <c r="B441" s="164" t="n"/>
      <c r="C441" s="164" t="n"/>
      <c r="D441" s="164" t="n"/>
      <c r="E441" s="164" t="n"/>
      <c r="F441" s="164" t="n"/>
      <c r="G441" s="164" t="n"/>
      <c r="H441" s="164" t="n"/>
      <c r="I441" s="166" t="n"/>
      <c r="J441" s="166" t="n"/>
      <c r="K441" s="166" t="n"/>
      <c r="L441" s="168" t="n"/>
      <c r="M441" s="167">
        <f>H441*I441+J441+K441</f>
        <v/>
      </c>
      <c r="N441" s="167">
        <f>M441*L441</f>
        <v/>
      </c>
      <c r="O441" s="167">
        <f>M441+N441</f>
        <v/>
      </c>
      <c r="P441" s="164" t="n"/>
    </row>
    <row r="442">
      <c r="A442" s="173" t="n"/>
      <c r="B442" s="164" t="n"/>
      <c r="C442" s="164" t="n"/>
      <c r="D442" s="164" t="n"/>
      <c r="E442" s="164" t="n"/>
      <c r="F442" s="164" t="n"/>
      <c r="G442" s="164" t="n"/>
      <c r="H442" s="164" t="n"/>
      <c r="I442" s="166" t="n"/>
      <c r="J442" s="166" t="n"/>
      <c r="K442" s="166" t="n"/>
      <c r="L442" s="168" t="n"/>
      <c r="M442" s="167">
        <f>H442*I442+J442+K442</f>
        <v/>
      </c>
      <c r="N442" s="167">
        <f>M442*L442</f>
        <v/>
      </c>
      <c r="O442" s="167">
        <f>M442+N442</f>
        <v/>
      </c>
      <c r="P442" s="164" t="n"/>
    </row>
    <row r="443">
      <c r="A443" s="173" t="n"/>
      <c r="B443" s="164" t="n"/>
      <c r="C443" s="164" t="n"/>
      <c r="D443" s="164" t="n"/>
      <c r="E443" s="164" t="n"/>
      <c r="F443" s="164" t="n"/>
      <c r="G443" s="164" t="n"/>
      <c r="H443" s="164" t="n"/>
      <c r="I443" s="166" t="n"/>
      <c r="J443" s="166" t="n"/>
      <c r="K443" s="166" t="n"/>
      <c r="L443" s="168" t="n"/>
      <c r="M443" s="167">
        <f>H443*I443+J443+K443</f>
        <v/>
      </c>
      <c r="N443" s="167">
        <f>M443*L443</f>
        <v/>
      </c>
      <c r="O443" s="167">
        <f>M443+N443</f>
        <v/>
      </c>
      <c r="P443" s="164" t="n"/>
    </row>
    <row r="444">
      <c r="A444" s="173" t="n"/>
      <c r="B444" s="164" t="n"/>
      <c r="C444" s="164" t="n"/>
      <c r="D444" s="164" t="n"/>
      <c r="E444" s="164" t="n"/>
      <c r="F444" s="164" t="n"/>
      <c r="G444" s="164" t="n"/>
      <c r="H444" s="164" t="n"/>
      <c r="I444" s="166" t="n"/>
      <c r="J444" s="166" t="n"/>
      <c r="K444" s="166" t="n"/>
      <c r="L444" s="168" t="n"/>
      <c r="M444" s="167">
        <f>H444*I444+J444+K444</f>
        <v/>
      </c>
      <c r="N444" s="167">
        <f>M444*L444</f>
        <v/>
      </c>
      <c r="O444" s="167">
        <f>M444+N444</f>
        <v/>
      </c>
      <c r="P444" s="164" t="n"/>
    </row>
    <row r="445">
      <c r="A445" s="173" t="n"/>
      <c r="B445" s="164" t="n"/>
      <c r="C445" s="164" t="n"/>
      <c r="D445" s="164" t="n"/>
      <c r="E445" s="164" t="n"/>
      <c r="F445" s="164" t="n"/>
      <c r="G445" s="164" t="n"/>
      <c r="H445" s="164" t="n"/>
      <c r="I445" s="166" t="n"/>
      <c r="J445" s="166" t="n"/>
      <c r="K445" s="166" t="n"/>
      <c r="L445" s="168" t="n"/>
      <c r="M445" s="167">
        <f>H445*I445+J445+K445</f>
        <v/>
      </c>
      <c r="N445" s="167">
        <f>M445*L445</f>
        <v/>
      </c>
      <c r="O445" s="167">
        <f>M445+N445</f>
        <v/>
      </c>
      <c r="P445" s="164" t="n"/>
    </row>
    <row r="446">
      <c r="A446" s="173" t="n"/>
      <c r="B446" s="164" t="n"/>
      <c r="C446" s="164" t="n"/>
      <c r="D446" s="164" t="n"/>
      <c r="E446" s="164" t="n"/>
      <c r="F446" s="164" t="n"/>
      <c r="G446" s="164" t="n"/>
      <c r="H446" s="164" t="n"/>
      <c r="I446" s="166" t="n"/>
      <c r="J446" s="166" t="n"/>
      <c r="K446" s="166" t="n"/>
      <c r="L446" s="168" t="n"/>
      <c r="M446" s="167">
        <f>H446*I446+J446+K446</f>
        <v/>
      </c>
      <c r="N446" s="167">
        <f>M446*L446</f>
        <v/>
      </c>
      <c r="O446" s="167">
        <f>M446+N446</f>
        <v/>
      </c>
      <c r="P446" s="164" t="n"/>
    </row>
    <row r="447">
      <c r="A447" s="173" t="n"/>
      <c r="B447" s="164" t="n"/>
      <c r="C447" s="164" t="n"/>
      <c r="D447" s="164" t="n"/>
      <c r="E447" s="164" t="n"/>
      <c r="F447" s="164" t="n"/>
      <c r="G447" s="164" t="n"/>
      <c r="H447" s="164" t="n"/>
      <c r="I447" s="166" t="n"/>
      <c r="J447" s="166" t="n"/>
      <c r="K447" s="166" t="n"/>
      <c r="L447" s="168" t="n"/>
      <c r="M447" s="167">
        <f>H447*I447+J447+K447</f>
        <v/>
      </c>
      <c r="N447" s="167">
        <f>M447*L447</f>
        <v/>
      </c>
      <c r="O447" s="167">
        <f>M447+N447</f>
        <v/>
      </c>
      <c r="P447" s="164" t="n"/>
    </row>
    <row r="448">
      <c r="A448" s="173" t="n"/>
      <c r="B448" s="164" t="n"/>
      <c r="C448" s="164" t="n"/>
      <c r="D448" s="164" t="n"/>
      <c r="E448" s="164" t="n"/>
      <c r="F448" s="164" t="n"/>
      <c r="G448" s="164" t="n"/>
      <c r="H448" s="164" t="n"/>
      <c r="I448" s="166" t="n"/>
      <c r="J448" s="166" t="n"/>
      <c r="K448" s="166" t="n"/>
      <c r="L448" s="168" t="n"/>
      <c r="M448" s="167">
        <f>H448*I448+J448+K448</f>
        <v/>
      </c>
      <c r="N448" s="167">
        <f>M448*L448</f>
        <v/>
      </c>
      <c r="O448" s="167">
        <f>M448+N448</f>
        <v/>
      </c>
      <c r="P448" s="164" t="n"/>
    </row>
    <row r="449">
      <c r="A449" s="173" t="n"/>
      <c r="B449" s="164" t="n"/>
      <c r="C449" s="164" t="n"/>
      <c r="D449" s="164" t="n"/>
      <c r="E449" s="164" t="n"/>
      <c r="F449" s="164" t="n"/>
      <c r="G449" s="164" t="n"/>
      <c r="H449" s="164" t="n"/>
      <c r="I449" s="166" t="n"/>
      <c r="J449" s="166" t="n"/>
      <c r="K449" s="166" t="n"/>
      <c r="L449" s="168" t="n"/>
      <c r="M449" s="167">
        <f>H449*I449+J449+K449</f>
        <v/>
      </c>
      <c r="N449" s="167">
        <f>M449*L449</f>
        <v/>
      </c>
      <c r="O449" s="167">
        <f>M449+N449</f>
        <v/>
      </c>
      <c r="P449" s="164" t="n"/>
    </row>
    <row r="450">
      <c r="A450" s="173" t="n"/>
      <c r="B450" s="164" t="n"/>
      <c r="C450" s="164" t="n"/>
      <c r="D450" s="164" t="n"/>
      <c r="E450" s="164" t="n"/>
      <c r="F450" s="164" t="n"/>
      <c r="G450" s="164" t="n"/>
      <c r="H450" s="164" t="n"/>
      <c r="I450" s="166" t="n"/>
      <c r="J450" s="166" t="n"/>
      <c r="K450" s="166" t="n"/>
      <c r="L450" s="168" t="n"/>
      <c r="M450" s="167">
        <f>H450*I450+J450+K450</f>
        <v/>
      </c>
      <c r="N450" s="167">
        <f>M450*L450</f>
        <v/>
      </c>
      <c r="O450" s="167">
        <f>M450+N450</f>
        <v/>
      </c>
      <c r="P450" s="164" t="n"/>
    </row>
    <row r="451">
      <c r="A451" s="173" t="n"/>
      <c r="B451" s="164" t="n"/>
      <c r="C451" s="164" t="n"/>
      <c r="D451" s="164" t="n"/>
      <c r="E451" s="164" t="n"/>
      <c r="F451" s="164" t="n"/>
      <c r="G451" s="164" t="n"/>
      <c r="H451" s="164" t="n"/>
      <c r="I451" s="166" t="n"/>
      <c r="J451" s="166" t="n"/>
      <c r="K451" s="166" t="n"/>
      <c r="L451" s="168" t="n"/>
      <c r="M451" s="167">
        <f>H451*I451+J451+K451</f>
        <v/>
      </c>
      <c r="N451" s="167">
        <f>M451*L451</f>
        <v/>
      </c>
      <c r="O451" s="167">
        <f>M451+N451</f>
        <v/>
      </c>
      <c r="P451" s="164" t="n"/>
    </row>
    <row r="452">
      <c r="A452" s="173" t="n"/>
      <c r="B452" s="164" t="n"/>
      <c r="C452" s="164" t="n"/>
      <c r="D452" s="164" t="n"/>
      <c r="E452" s="164" t="n"/>
      <c r="F452" s="164" t="n"/>
      <c r="G452" s="164" t="n"/>
      <c r="H452" s="164" t="n"/>
      <c r="I452" s="166" t="n"/>
      <c r="J452" s="166" t="n"/>
      <c r="K452" s="166" t="n"/>
      <c r="L452" s="168" t="n"/>
      <c r="M452" s="167">
        <f>H452*I452+J452+K452</f>
        <v/>
      </c>
      <c r="N452" s="167">
        <f>M452*L452</f>
        <v/>
      </c>
      <c r="O452" s="167">
        <f>M452+N452</f>
        <v/>
      </c>
      <c r="P452" s="164" t="n"/>
    </row>
    <row r="453">
      <c r="A453" s="173" t="n"/>
      <c r="B453" s="164" t="n"/>
      <c r="C453" s="164" t="n"/>
      <c r="D453" s="164" t="n"/>
      <c r="E453" s="164" t="n"/>
      <c r="F453" s="164" t="n"/>
      <c r="G453" s="164" t="n"/>
      <c r="H453" s="164" t="n"/>
      <c r="I453" s="166" t="n"/>
      <c r="J453" s="166" t="n"/>
      <c r="K453" s="166" t="n"/>
      <c r="L453" s="168" t="n"/>
      <c r="M453" s="167">
        <f>H453*I453+J453+K453</f>
        <v/>
      </c>
      <c r="N453" s="167">
        <f>M453*L453</f>
        <v/>
      </c>
      <c r="O453" s="167">
        <f>M453+N453</f>
        <v/>
      </c>
      <c r="P453" s="164" t="n"/>
    </row>
    <row r="454">
      <c r="A454" s="173" t="n"/>
      <c r="B454" s="164" t="n"/>
      <c r="C454" s="164" t="n"/>
      <c r="D454" s="164" t="n"/>
      <c r="E454" s="164" t="n"/>
      <c r="F454" s="164" t="n"/>
      <c r="G454" s="164" t="n"/>
      <c r="H454" s="164" t="n"/>
      <c r="I454" s="166" t="n"/>
      <c r="J454" s="166" t="n"/>
      <c r="K454" s="166" t="n"/>
      <c r="L454" s="168" t="n"/>
      <c r="M454" s="167">
        <f>H454*I454+J454+K454</f>
        <v/>
      </c>
      <c r="N454" s="167">
        <f>M454*L454</f>
        <v/>
      </c>
      <c r="O454" s="167">
        <f>M454+N454</f>
        <v/>
      </c>
      <c r="P454" s="164" t="n"/>
    </row>
    <row r="455">
      <c r="A455" s="173" t="n"/>
      <c r="B455" s="164" t="n"/>
      <c r="C455" s="164" t="n"/>
      <c r="D455" s="164" t="n"/>
      <c r="E455" s="164" t="n"/>
      <c r="F455" s="164" t="n"/>
      <c r="G455" s="164" t="n"/>
      <c r="H455" s="164" t="n"/>
      <c r="I455" s="166" t="n"/>
      <c r="J455" s="166" t="n"/>
      <c r="K455" s="166" t="n"/>
      <c r="L455" s="168" t="n"/>
      <c r="M455" s="167">
        <f>H455*I455+J455+K455</f>
        <v/>
      </c>
      <c r="N455" s="167">
        <f>M455*L455</f>
        <v/>
      </c>
      <c r="O455" s="167">
        <f>M455+N455</f>
        <v/>
      </c>
      <c r="P455" s="164" t="n"/>
    </row>
    <row r="456">
      <c r="A456" s="173" t="n"/>
      <c r="B456" s="164" t="n"/>
      <c r="C456" s="164" t="n"/>
      <c r="D456" s="164" t="n"/>
      <c r="E456" s="164" t="n"/>
      <c r="F456" s="164" t="n"/>
      <c r="G456" s="164" t="n"/>
      <c r="H456" s="164" t="n"/>
      <c r="I456" s="166" t="n"/>
      <c r="J456" s="166" t="n"/>
      <c r="K456" s="166" t="n"/>
      <c r="L456" s="168" t="n"/>
      <c r="M456" s="167">
        <f>H456*I456+J456+K456</f>
        <v/>
      </c>
      <c r="N456" s="167">
        <f>M456*L456</f>
        <v/>
      </c>
      <c r="O456" s="167">
        <f>M456+N456</f>
        <v/>
      </c>
      <c r="P456" s="164" t="n"/>
    </row>
    <row r="457">
      <c r="A457" s="173" t="n"/>
      <c r="B457" s="164" t="n"/>
      <c r="C457" s="164" t="n"/>
      <c r="D457" s="164" t="n"/>
      <c r="E457" s="164" t="n"/>
      <c r="F457" s="164" t="n"/>
      <c r="G457" s="164" t="n"/>
      <c r="H457" s="164" t="n"/>
      <c r="I457" s="166" t="n"/>
      <c r="J457" s="166" t="n"/>
      <c r="K457" s="166" t="n"/>
      <c r="L457" s="168" t="n"/>
      <c r="M457" s="167">
        <f>H457*I457+J457+K457</f>
        <v/>
      </c>
      <c r="N457" s="167">
        <f>M457*L457</f>
        <v/>
      </c>
      <c r="O457" s="167">
        <f>M457+N457</f>
        <v/>
      </c>
      <c r="P457" s="164" t="n"/>
    </row>
    <row r="458">
      <c r="A458" s="173" t="n"/>
      <c r="B458" s="164" t="n"/>
      <c r="C458" s="164" t="n"/>
      <c r="D458" s="164" t="n"/>
      <c r="E458" s="164" t="n"/>
      <c r="F458" s="164" t="n"/>
      <c r="G458" s="164" t="n"/>
      <c r="H458" s="164" t="n"/>
      <c r="I458" s="166" t="n"/>
      <c r="J458" s="166" t="n"/>
      <c r="K458" s="166" t="n"/>
      <c r="L458" s="168" t="n"/>
      <c r="M458" s="167">
        <f>H458*I458+J458+K458</f>
        <v/>
      </c>
      <c r="N458" s="167">
        <f>M458*L458</f>
        <v/>
      </c>
      <c r="O458" s="167">
        <f>M458+N458</f>
        <v/>
      </c>
      <c r="P458" s="164" t="n"/>
    </row>
    <row r="459">
      <c r="A459" s="173" t="n"/>
      <c r="B459" s="164" t="n"/>
      <c r="C459" s="164" t="n"/>
      <c r="D459" s="164" t="n"/>
      <c r="E459" s="164" t="n"/>
      <c r="F459" s="164" t="n"/>
      <c r="G459" s="164" t="n"/>
      <c r="H459" s="164" t="n"/>
      <c r="I459" s="166" t="n"/>
      <c r="J459" s="166" t="n"/>
      <c r="K459" s="166" t="n"/>
      <c r="L459" s="168" t="n"/>
      <c r="M459" s="167">
        <f>H459*I459+J459+K459</f>
        <v/>
      </c>
      <c r="N459" s="167">
        <f>M459*L459</f>
        <v/>
      </c>
      <c r="O459" s="167">
        <f>M459+N459</f>
        <v/>
      </c>
      <c r="P459" s="164" t="n"/>
    </row>
    <row r="460">
      <c r="A460" s="173" t="n"/>
      <c r="B460" s="164" t="n"/>
      <c r="C460" s="164" t="n"/>
      <c r="D460" s="164" t="n"/>
      <c r="E460" s="164" t="n"/>
      <c r="F460" s="164" t="n"/>
      <c r="G460" s="164" t="n"/>
      <c r="H460" s="164" t="n"/>
      <c r="I460" s="166" t="n"/>
      <c r="J460" s="166" t="n"/>
      <c r="K460" s="166" t="n"/>
      <c r="L460" s="168" t="n"/>
      <c r="M460" s="167">
        <f>H460*I460+J460+K460</f>
        <v/>
      </c>
      <c r="N460" s="167">
        <f>M460*L460</f>
        <v/>
      </c>
      <c r="O460" s="167">
        <f>M460+N460</f>
        <v/>
      </c>
      <c r="P460" s="164" t="n"/>
    </row>
    <row r="461">
      <c r="A461" s="173" t="n"/>
      <c r="B461" s="164" t="n"/>
      <c r="C461" s="164" t="n"/>
      <c r="D461" s="164" t="n"/>
      <c r="E461" s="164" t="n"/>
      <c r="F461" s="164" t="n"/>
      <c r="G461" s="164" t="n"/>
      <c r="H461" s="164" t="n"/>
      <c r="I461" s="166" t="n"/>
      <c r="J461" s="166" t="n"/>
      <c r="K461" s="166" t="n"/>
      <c r="L461" s="168" t="n"/>
      <c r="M461" s="167">
        <f>H461*I461+J461+K461</f>
        <v/>
      </c>
      <c r="N461" s="167">
        <f>M461*L461</f>
        <v/>
      </c>
      <c r="O461" s="167">
        <f>M461+N461</f>
        <v/>
      </c>
      <c r="P461" s="164" t="n"/>
    </row>
    <row r="462">
      <c r="A462" s="173" t="n"/>
      <c r="B462" s="164" t="n"/>
      <c r="C462" s="164" t="n"/>
      <c r="D462" s="164" t="n"/>
      <c r="E462" s="164" t="n"/>
      <c r="F462" s="164" t="n"/>
      <c r="G462" s="164" t="n"/>
      <c r="H462" s="164" t="n"/>
      <c r="I462" s="166" t="n"/>
      <c r="J462" s="166" t="n"/>
      <c r="K462" s="166" t="n"/>
      <c r="L462" s="168" t="n"/>
      <c r="M462" s="167">
        <f>H462*I462+J462+K462</f>
        <v/>
      </c>
      <c r="N462" s="167">
        <f>M462*L462</f>
        <v/>
      </c>
      <c r="O462" s="167">
        <f>M462+N462</f>
        <v/>
      </c>
      <c r="P462" s="164" t="n"/>
    </row>
    <row r="463">
      <c r="A463" s="173" t="n"/>
      <c r="B463" s="164" t="n"/>
      <c r="C463" s="164" t="n"/>
      <c r="D463" s="164" t="n"/>
      <c r="E463" s="164" t="n"/>
      <c r="F463" s="164" t="n"/>
      <c r="G463" s="164" t="n"/>
      <c r="H463" s="164" t="n"/>
      <c r="I463" s="166" t="n"/>
      <c r="J463" s="166" t="n"/>
      <c r="K463" s="166" t="n"/>
      <c r="L463" s="168" t="n"/>
      <c r="M463" s="167">
        <f>H463*I463+J463+K463</f>
        <v/>
      </c>
      <c r="N463" s="167">
        <f>M463*L463</f>
        <v/>
      </c>
      <c r="O463" s="167">
        <f>M463+N463</f>
        <v/>
      </c>
      <c r="P463" s="164" t="n"/>
    </row>
    <row r="464">
      <c r="A464" s="173" t="n"/>
      <c r="B464" s="164" t="n"/>
      <c r="C464" s="164" t="n"/>
      <c r="D464" s="164" t="n"/>
      <c r="E464" s="164" t="n"/>
      <c r="F464" s="164" t="n"/>
      <c r="G464" s="164" t="n"/>
      <c r="H464" s="164" t="n"/>
      <c r="I464" s="166" t="n"/>
      <c r="J464" s="166" t="n"/>
      <c r="K464" s="166" t="n"/>
      <c r="L464" s="168" t="n"/>
      <c r="M464" s="167">
        <f>H464*I464+J464+K464</f>
        <v/>
      </c>
      <c r="N464" s="167">
        <f>M464*L464</f>
        <v/>
      </c>
      <c r="O464" s="167">
        <f>M464+N464</f>
        <v/>
      </c>
      <c r="P464" s="164" t="n"/>
    </row>
    <row r="465">
      <c r="A465" s="173" t="n"/>
      <c r="B465" s="164" t="n"/>
      <c r="C465" s="164" t="n"/>
      <c r="D465" s="164" t="n"/>
      <c r="E465" s="164" t="n"/>
      <c r="F465" s="164" t="n"/>
      <c r="G465" s="164" t="n"/>
      <c r="H465" s="164" t="n"/>
      <c r="I465" s="166" t="n"/>
      <c r="J465" s="166" t="n"/>
      <c r="K465" s="166" t="n"/>
      <c r="L465" s="168" t="n"/>
      <c r="M465" s="167">
        <f>H465*I465+J465+K465</f>
        <v/>
      </c>
      <c r="N465" s="167">
        <f>M465*L465</f>
        <v/>
      </c>
      <c r="O465" s="167">
        <f>M465+N465</f>
        <v/>
      </c>
      <c r="P465" s="164" t="n"/>
    </row>
    <row r="466">
      <c r="A466" s="173" t="n"/>
      <c r="B466" s="164" t="n"/>
      <c r="C466" s="164" t="n"/>
      <c r="D466" s="164" t="n"/>
      <c r="E466" s="164" t="n"/>
      <c r="F466" s="164" t="n"/>
      <c r="G466" s="164" t="n"/>
      <c r="H466" s="164" t="n"/>
      <c r="I466" s="166" t="n"/>
      <c r="J466" s="166" t="n"/>
      <c r="K466" s="166" t="n"/>
      <c r="L466" s="168" t="n"/>
      <c r="M466" s="167">
        <f>H466*I466+J466+K466</f>
        <v/>
      </c>
      <c r="N466" s="167">
        <f>M466*L466</f>
        <v/>
      </c>
      <c r="O466" s="167">
        <f>M466+N466</f>
        <v/>
      </c>
      <c r="P466" s="164" t="n"/>
    </row>
    <row r="467">
      <c r="A467" s="173" t="n"/>
      <c r="B467" s="164" t="n"/>
      <c r="C467" s="164" t="n"/>
      <c r="D467" s="164" t="n"/>
      <c r="E467" s="164" t="n"/>
      <c r="F467" s="164" t="n"/>
      <c r="G467" s="164" t="n"/>
      <c r="H467" s="164" t="n"/>
      <c r="I467" s="166" t="n"/>
      <c r="J467" s="166" t="n"/>
      <c r="K467" s="166" t="n"/>
      <c r="L467" s="168" t="n"/>
      <c r="M467" s="167">
        <f>H467*I467+J467+K467</f>
        <v/>
      </c>
      <c r="N467" s="167">
        <f>M467*L467</f>
        <v/>
      </c>
      <c r="O467" s="167">
        <f>M467+N467</f>
        <v/>
      </c>
      <c r="P467" s="164" t="n"/>
    </row>
    <row r="468">
      <c r="A468" s="173" t="n"/>
      <c r="B468" s="164" t="n"/>
      <c r="C468" s="164" t="n"/>
      <c r="D468" s="164" t="n"/>
      <c r="E468" s="164" t="n"/>
      <c r="F468" s="164" t="n"/>
      <c r="G468" s="164" t="n"/>
      <c r="H468" s="164" t="n"/>
      <c r="I468" s="166" t="n"/>
      <c r="J468" s="166" t="n"/>
      <c r="K468" s="166" t="n"/>
      <c r="L468" s="168" t="n"/>
      <c r="M468" s="167">
        <f>H468*I468+J468+K468</f>
        <v/>
      </c>
      <c r="N468" s="167">
        <f>M468*L468</f>
        <v/>
      </c>
      <c r="O468" s="167">
        <f>M468+N468</f>
        <v/>
      </c>
      <c r="P468" s="164" t="n"/>
    </row>
    <row r="469">
      <c r="A469" s="173" t="n"/>
      <c r="B469" s="164" t="n"/>
      <c r="C469" s="164" t="n"/>
      <c r="D469" s="164" t="n"/>
      <c r="E469" s="164" t="n"/>
      <c r="F469" s="164" t="n"/>
      <c r="G469" s="164" t="n"/>
      <c r="H469" s="164" t="n"/>
      <c r="I469" s="166" t="n"/>
      <c r="J469" s="166" t="n"/>
      <c r="K469" s="166" t="n"/>
      <c r="L469" s="168" t="n"/>
      <c r="M469" s="167">
        <f>H469*I469+J469+K469</f>
        <v/>
      </c>
      <c r="N469" s="167">
        <f>M469*L469</f>
        <v/>
      </c>
      <c r="O469" s="167">
        <f>M469+N469</f>
        <v/>
      </c>
      <c r="P469" s="164" t="n"/>
    </row>
    <row r="470">
      <c r="A470" s="173" t="n"/>
      <c r="B470" s="164" t="n"/>
      <c r="C470" s="164" t="n"/>
      <c r="D470" s="164" t="n"/>
      <c r="E470" s="164" t="n"/>
      <c r="F470" s="164" t="n"/>
      <c r="G470" s="164" t="n"/>
      <c r="H470" s="164" t="n"/>
      <c r="I470" s="166" t="n"/>
      <c r="J470" s="166" t="n"/>
      <c r="K470" s="166" t="n"/>
      <c r="L470" s="168" t="n"/>
      <c r="M470" s="167">
        <f>H470*I470+J470+K470</f>
        <v/>
      </c>
      <c r="N470" s="167">
        <f>M470*L470</f>
        <v/>
      </c>
      <c r="O470" s="167">
        <f>M470+N470</f>
        <v/>
      </c>
      <c r="P470" s="164" t="n"/>
    </row>
    <row r="471">
      <c r="A471" s="173" t="n"/>
      <c r="B471" s="164" t="n"/>
      <c r="C471" s="164" t="n"/>
      <c r="D471" s="164" t="n"/>
      <c r="E471" s="164" t="n"/>
      <c r="F471" s="164" t="n"/>
      <c r="G471" s="164" t="n"/>
      <c r="H471" s="164" t="n"/>
      <c r="I471" s="166" t="n"/>
      <c r="J471" s="166" t="n"/>
      <c r="K471" s="166" t="n"/>
      <c r="L471" s="168" t="n"/>
      <c r="M471" s="167">
        <f>H471*I471+J471+K471</f>
        <v/>
      </c>
      <c r="N471" s="167">
        <f>M471*L471</f>
        <v/>
      </c>
      <c r="O471" s="167">
        <f>M471+N471</f>
        <v/>
      </c>
      <c r="P471" s="164" t="n"/>
    </row>
    <row r="472">
      <c r="A472" s="173" t="n"/>
      <c r="B472" s="164" t="n"/>
      <c r="C472" s="164" t="n"/>
      <c r="D472" s="164" t="n"/>
      <c r="E472" s="164" t="n"/>
      <c r="F472" s="164" t="n"/>
      <c r="G472" s="164" t="n"/>
      <c r="H472" s="164" t="n"/>
      <c r="I472" s="166" t="n"/>
      <c r="J472" s="166" t="n"/>
      <c r="K472" s="166" t="n"/>
      <c r="L472" s="168" t="n"/>
      <c r="M472" s="167">
        <f>H472*I472+J472+K472</f>
        <v/>
      </c>
      <c r="N472" s="167">
        <f>M472*L472</f>
        <v/>
      </c>
      <c r="O472" s="167">
        <f>M472+N472</f>
        <v/>
      </c>
      <c r="P472" s="164" t="n"/>
    </row>
    <row r="473">
      <c r="A473" s="173" t="n"/>
      <c r="B473" s="164" t="n"/>
      <c r="C473" s="164" t="n"/>
      <c r="D473" s="164" t="n"/>
      <c r="E473" s="164" t="n"/>
      <c r="F473" s="164" t="n"/>
      <c r="G473" s="164" t="n"/>
      <c r="H473" s="164" t="n"/>
      <c r="I473" s="166" t="n"/>
      <c r="J473" s="166" t="n"/>
      <c r="K473" s="166" t="n"/>
      <c r="L473" s="168" t="n"/>
      <c r="M473" s="167">
        <f>H473*I473+J473+K473</f>
        <v/>
      </c>
      <c r="N473" s="167">
        <f>M473*L473</f>
        <v/>
      </c>
      <c r="O473" s="167">
        <f>M473+N473</f>
        <v/>
      </c>
      <c r="P473" s="164" t="n"/>
    </row>
    <row r="474">
      <c r="A474" s="173" t="n"/>
      <c r="B474" s="164" t="n"/>
      <c r="C474" s="164" t="n"/>
      <c r="D474" s="164" t="n"/>
      <c r="E474" s="164" t="n"/>
      <c r="F474" s="164" t="n"/>
      <c r="G474" s="164" t="n"/>
      <c r="H474" s="164" t="n"/>
      <c r="I474" s="166" t="n"/>
      <c r="J474" s="166" t="n"/>
      <c r="K474" s="166" t="n"/>
      <c r="L474" s="168" t="n"/>
      <c r="M474" s="167">
        <f>H474*I474+J474+K474</f>
        <v/>
      </c>
      <c r="N474" s="167">
        <f>M474*L474</f>
        <v/>
      </c>
      <c r="O474" s="167">
        <f>M474+N474</f>
        <v/>
      </c>
      <c r="P474" s="164" t="n"/>
    </row>
    <row r="475">
      <c r="A475" s="173" t="n"/>
      <c r="B475" s="164" t="n"/>
      <c r="C475" s="164" t="n"/>
      <c r="D475" s="164" t="n"/>
      <c r="E475" s="164" t="n"/>
      <c r="F475" s="164" t="n"/>
      <c r="G475" s="164" t="n"/>
      <c r="H475" s="164" t="n"/>
      <c r="I475" s="166" t="n"/>
      <c r="J475" s="166" t="n"/>
      <c r="K475" s="166" t="n"/>
      <c r="L475" s="168" t="n"/>
      <c r="M475" s="167">
        <f>H475*I475+J475+K475</f>
        <v/>
      </c>
      <c r="N475" s="167">
        <f>M475*L475</f>
        <v/>
      </c>
      <c r="O475" s="167">
        <f>M475+N475</f>
        <v/>
      </c>
      <c r="P475" s="164" t="n"/>
    </row>
    <row r="476">
      <c r="A476" s="173" t="n"/>
      <c r="B476" s="164" t="n"/>
      <c r="C476" s="164" t="n"/>
      <c r="D476" s="164" t="n"/>
      <c r="E476" s="164" t="n"/>
      <c r="F476" s="164" t="n"/>
      <c r="G476" s="164" t="n"/>
      <c r="H476" s="164" t="n"/>
      <c r="I476" s="166" t="n"/>
      <c r="J476" s="166" t="n"/>
      <c r="K476" s="166" t="n"/>
      <c r="L476" s="168" t="n"/>
      <c r="M476" s="167">
        <f>H476*I476+J476+K476</f>
        <v/>
      </c>
      <c r="N476" s="167">
        <f>M476*L476</f>
        <v/>
      </c>
      <c r="O476" s="167">
        <f>M476+N476</f>
        <v/>
      </c>
      <c r="P476" s="164" t="n"/>
    </row>
    <row r="477">
      <c r="A477" s="173" t="n"/>
      <c r="B477" s="164" t="n"/>
      <c r="C477" s="164" t="n"/>
      <c r="D477" s="164" t="n"/>
      <c r="E477" s="164" t="n"/>
      <c r="F477" s="164" t="n"/>
      <c r="G477" s="164" t="n"/>
      <c r="H477" s="164" t="n"/>
      <c r="I477" s="166" t="n"/>
      <c r="J477" s="166" t="n"/>
      <c r="K477" s="166" t="n"/>
      <c r="L477" s="168" t="n"/>
      <c r="M477" s="167">
        <f>H477*I477+J477+K477</f>
        <v/>
      </c>
      <c r="N477" s="167">
        <f>M477*L477</f>
        <v/>
      </c>
      <c r="O477" s="167">
        <f>M477+N477</f>
        <v/>
      </c>
      <c r="P477" s="164" t="n"/>
    </row>
    <row r="478">
      <c r="A478" s="173" t="n"/>
      <c r="B478" s="164" t="n"/>
      <c r="C478" s="164" t="n"/>
      <c r="D478" s="164" t="n"/>
      <c r="E478" s="164" t="n"/>
      <c r="F478" s="164" t="n"/>
      <c r="G478" s="164" t="n"/>
      <c r="H478" s="164" t="n"/>
      <c r="I478" s="166" t="n"/>
      <c r="J478" s="166" t="n"/>
      <c r="K478" s="166" t="n"/>
      <c r="L478" s="168" t="n"/>
      <c r="M478" s="167">
        <f>H478*I478+J478+K478</f>
        <v/>
      </c>
      <c r="N478" s="167">
        <f>M478*L478</f>
        <v/>
      </c>
      <c r="O478" s="167">
        <f>M478+N478</f>
        <v/>
      </c>
      <c r="P478" s="164" t="n"/>
    </row>
    <row r="479">
      <c r="A479" s="173" t="n"/>
      <c r="B479" s="164" t="n"/>
      <c r="C479" s="164" t="n"/>
      <c r="D479" s="164" t="n"/>
      <c r="E479" s="164" t="n"/>
      <c r="F479" s="164" t="n"/>
      <c r="G479" s="164" t="n"/>
      <c r="H479" s="164" t="n"/>
      <c r="I479" s="166" t="n"/>
      <c r="J479" s="166" t="n"/>
      <c r="K479" s="166" t="n"/>
      <c r="L479" s="168" t="n"/>
      <c r="M479" s="167">
        <f>H479*I479+J479+K479</f>
        <v/>
      </c>
      <c r="N479" s="167">
        <f>M479*L479</f>
        <v/>
      </c>
      <c r="O479" s="167">
        <f>M479+N479</f>
        <v/>
      </c>
      <c r="P479" s="164" t="n"/>
    </row>
    <row r="480">
      <c r="A480" s="173" t="n"/>
      <c r="B480" s="164" t="n"/>
      <c r="C480" s="164" t="n"/>
      <c r="D480" s="164" t="n"/>
      <c r="E480" s="164" t="n"/>
      <c r="F480" s="164" t="n"/>
      <c r="G480" s="164" t="n"/>
      <c r="H480" s="164" t="n"/>
      <c r="I480" s="166" t="n"/>
      <c r="J480" s="166" t="n"/>
      <c r="K480" s="166" t="n"/>
      <c r="L480" s="168" t="n"/>
      <c r="M480" s="167">
        <f>H480*I480+J480+K480</f>
        <v/>
      </c>
      <c r="N480" s="167">
        <f>M480*L480</f>
        <v/>
      </c>
      <c r="O480" s="167">
        <f>M480+N480</f>
        <v/>
      </c>
      <c r="P480" s="164" t="n"/>
    </row>
    <row r="481">
      <c r="A481" s="173" t="n"/>
      <c r="B481" s="164" t="n"/>
      <c r="C481" s="164" t="n"/>
      <c r="D481" s="164" t="n"/>
      <c r="E481" s="164" t="n"/>
      <c r="F481" s="164" t="n"/>
      <c r="G481" s="164" t="n"/>
      <c r="H481" s="164" t="n"/>
      <c r="I481" s="166" t="n"/>
      <c r="J481" s="166" t="n"/>
      <c r="K481" s="166" t="n"/>
      <c r="L481" s="168" t="n"/>
      <c r="M481" s="167">
        <f>H481*I481+J481+K481</f>
        <v/>
      </c>
      <c r="N481" s="167">
        <f>M481*L481</f>
        <v/>
      </c>
      <c r="O481" s="167">
        <f>M481+N481</f>
        <v/>
      </c>
      <c r="P481" s="164" t="n"/>
    </row>
    <row r="482">
      <c r="A482" s="173" t="n"/>
      <c r="B482" s="164" t="n"/>
      <c r="C482" s="164" t="n"/>
      <c r="D482" s="164" t="n"/>
      <c r="E482" s="164" t="n"/>
      <c r="F482" s="164" t="n"/>
      <c r="G482" s="164" t="n"/>
      <c r="H482" s="164" t="n"/>
      <c r="I482" s="166" t="n"/>
      <c r="J482" s="166" t="n"/>
      <c r="K482" s="166" t="n"/>
      <c r="L482" s="168" t="n"/>
      <c r="M482" s="167">
        <f>H482*I482+J482+K482</f>
        <v/>
      </c>
      <c r="N482" s="167">
        <f>M482*L482</f>
        <v/>
      </c>
      <c r="O482" s="167">
        <f>M482+N482</f>
        <v/>
      </c>
      <c r="P482" s="164" t="n"/>
    </row>
    <row r="483">
      <c r="A483" s="173" t="n"/>
      <c r="B483" s="164" t="n"/>
      <c r="C483" s="164" t="n"/>
      <c r="D483" s="164" t="n"/>
      <c r="E483" s="164" t="n"/>
      <c r="F483" s="164" t="n"/>
      <c r="G483" s="164" t="n"/>
      <c r="H483" s="164" t="n"/>
      <c r="I483" s="166" t="n"/>
      <c r="J483" s="166" t="n"/>
      <c r="K483" s="166" t="n"/>
      <c r="L483" s="168" t="n"/>
      <c r="M483" s="167">
        <f>H483*I483+J483+K483</f>
        <v/>
      </c>
      <c r="N483" s="167">
        <f>M483*L483</f>
        <v/>
      </c>
      <c r="O483" s="167">
        <f>M483+N483</f>
        <v/>
      </c>
      <c r="P483" s="164" t="n"/>
    </row>
    <row r="484">
      <c r="A484" s="173" t="n"/>
      <c r="B484" s="164" t="n"/>
      <c r="C484" s="164" t="n"/>
      <c r="D484" s="164" t="n"/>
      <c r="E484" s="164" t="n"/>
      <c r="F484" s="164" t="n"/>
      <c r="G484" s="164" t="n"/>
      <c r="H484" s="164" t="n"/>
      <c r="I484" s="166" t="n"/>
      <c r="J484" s="166" t="n"/>
      <c r="K484" s="166" t="n"/>
      <c r="L484" s="168" t="n"/>
      <c r="M484" s="167">
        <f>H484*I484+J484+K484</f>
        <v/>
      </c>
      <c r="N484" s="167">
        <f>M484*L484</f>
        <v/>
      </c>
      <c r="O484" s="167">
        <f>M484+N484</f>
        <v/>
      </c>
      <c r="P484" s="164" t="n"/>
    </row>
    <row r="485">
      <c r="A485" s="173" t="n"/>
      <c r="B485" s="164" t="n"/>
      <c r="C485" s="164" t="n"/>
      <c r="D485" s="164" t="n"/>
      <c r="E485" s="164" t="n"/>
      <c r="F485" s="164" t="n"/>
      <c r="G485" s="164" t="n"/>
      <c r="H485" s="164" t="n"/>
      <c r="I485" s="166" t="n"/>
      <c r="J485" s="166" t="n"/>
      <c r="K485" s="166" t="n"/>
      <c r="L485" s="168" t="n"/>
      <c r="M485" s="167">
        <f>H485*I485+J485+K485</f>
        <v/>
      </c>
      <c r="N485" s="167">
        <f>M485*L485</f>
        <v/>
      </c>
      <c r="O485" s="167">
        <f>M485+N485</f>
        <v/>
      </c>
      <c r="P485" s="164" t="n"/>
    </row>
    <row r="486">
      <c r="A486" s="173" t="n"/>
      <c r="B486" s="164" t="n"/>
      <c r="C486" s="164" t="n"/>
      <c r="D486" s="164" t="n"/>
      <c r="E486" s="164" t="n"/>
      <c r="F486" s="164" t="n"/>
      <c r="G486" s="164" t="n"/>
      <c r="H486" s="164" t="n"/>
      <c r="I486" s="166" t="n"/>
      <c r="J486" s="166" t="n"/>
      <c r="K486" s="166" t="n"/>
      <c r="L486" s="168" t="n"/>
      <c r="M486" s="167">
        <f>H486*I486+J486+K486</f>
        <v/>
      </c>
      <c r="N486" s="167">
        <f>M486*L486</f>
        <v/>
      </c>
      <c r="O486" s="167">
        <f>M486+N486</f>
        <v/>
      </c>
      <c r="P486" s="164" t="n"/>
    </row>
    <row r="487">
      <c r="A487" s="173" t="n"/>
      <c r="B487" s="164" t="n"/>
      <c r="C487" s="164" t="n"/>
      <c r="D487" s="164" t="n"/>
      <c r="E487" s="164" t="n"/>
      <c r="F487" s="164" t="n"/>
      <c r="G487" s="164" t="n"/>
      <c r="H487" s="164" t="n"/>
      <c r="I487" s="166" t="n"/>
      <c r="J487" s="166" t="n"/>
      <c r="K487" s="166" t="n"/>
      <c r="L487" s="168" t="n"/>
      <c r="M487" s="167">
        <f>H487*I487+J487+K487</f>
        <v/>
      </c>
      <c r="N487" s="167">
        <f>M487*L487</f>
        <v/>
      </c>
      <c r="O487" s="167">
        <f>M487+N487</f>
        <v/>
      </c>
      <c r="P487" s="164" t="n"/>
    </row>
    <row r="488">
      <c r="A488" s="173" t="n"/>
      <c r="B488" s="164" t="n"/>
      <c r="C488" s="164" t="n"/>
      <c r="D488" s="164" t="n"/>
      <c r="E488" s="164" t="n"/>
      <c r="F488" s="164" t="n"/>
      <c r="G488" s="164" t="n"/>
      <c r="H488" s="164" t="n"/>
      <c r="I488" s="166" t="n"/>
      <c r="J488" s="166" t="n"/>
      <c r="K488" s="166" t="n"/>
      <c r="L488" s="168" t="n"/>
      <c r="M488" s="167">
        <f>H488*I488+J488+K488</f>
        <v/>
      </c>
      <c r="N488" s="167">
        <f>M488*L488</f>
        <v/>
      </c>
      <c r="O488" s="167">
        <f>M488+N488</f>
        <v/>
      </c>
      <c r="P488" s="164" t="n"/>
    </row>
    <row r="489">
      <c r="A489" s="173" t="n"/>
      <c r="B489" s="164" t="n"/>
      <c r="C489" s="164" t="n"/>
      <c r="D489" s="164" t="n"/>
      <c r="E489" s="164" t="n"/>
      <c r="F489" s="164" t="n"/>
      <c r="G489" s="164" t="n"/>
      <c r="H489" s="164" t="n"/>
      <c r="I489" s="166" t="n"/>
      <c r="J489" s="166" t="n"/>
      <c r="K489" s="166" t="n"/>
      <c r="L489" s="168" t="n"/>
      <c r="M489" s="167">
        <f>H489*I489+J489+K489</f>
        <v/>
      </c>
      <c r="N489" s="167">
        <f>M489*L489</f>
        <v/>
      </c>
      <c r="O489" s="167">
        <f>M489+N489</f>
        <v/>
      </c>
      <c r="P489" s="164" t="n"/>
    </row>
    <row r="490">
      <c r="A490" s="173" t="n"/>
      <c r="B490" s="164" t="n"/>
      <c r="C490" s="164" t="n"/>
      <c r="D490" s="164" t="n"/>
      <c r="E490" s="164" t="n"/>
      <c r="F490" s="164" t="n"/>
      <c r="G490" s="164" t="n"/>
      <c r="H490" s="164" t="n"/>
      <c r="I490" s="166" t="n"/>
      <c r="J490" s="166" t="n"/>
      <c r="K490" s="166" t="n"/>
      <c r="L490" s="168" t="n"/>
      <c r="M490" s="167">
        <f>H490*I490+J490+K490</f>
        <v/>
      </c>
      <c r="N490" s="167">
        <f>M490*L490</f>
        <v/>
      </c>
      <c r="O490" s="167">
        <f>M490+N490</f>
        <v/>
      </c>
      <c r="P490" s="164" t="n"/>
    </row>
    <row r="491">
      <c r="A491" s="173" t="n"/>
      <c r="B491" s="164" t="n"/>
      <c r="C491" s="164" t="n"/>
      <c r="D491" s="164" t="n"/>
      <c r="E491" s="164" t="n"/>
      <c r="F491" s="164" t="n"/>
      <c r="G491" s="164" t="n"/>
      <c r="H491" s="164" t="n"/>
      <c r="I491" s="166" t="n"/>
      <c r="J491" s="166" t="n"/>
      <c r="K491" s="166" t="n"/>
      <c r="L491" s="168" t="n"/>
      <c r="M491" s="167">
        <f>H491*I491+J491+K491</f>
        <v/>
      </c>
      <c r="N491" s="167">
        <f>M491*L491</f>
        <v/>
      </c>
      <c r="O491" s="167">
        <f>M491+N491</f>
        <v/>
      </c>
      <c r="P491" s="164" t="n"/>
    </row>
    <row r="492">
      <c r="A492" s="173" t="n"/>
      <c r="B492" s="164" t="n"/>
      <c r="C492" s="164" t="n"/>
      <c r="D492" s="164" t="n"/>
      <c r="E492" s="164" t="n"/>
      <c r="F492" s="164" t="n"/>
      <c r="G492" s="164" t="n"/>
      <c r="H492" s="164" t="n"/>
      <c r="I492" s="166" t="n"/>
      <c r="J492" s="166" t="n"/>
      <c r="K492" s="166" t="n"/>
      <c r="L492" s="168" t="n"/>
      <c r="M492" s="167">
        <f>H492*I492+J492+K492</f>
        <v/>
      </c>
      <c r="N492" s="167">
        <f>M492*L492</f>
        <v/>
      </c>
      <c r="O492" s="167">
        <f>M492+N492</f>
        <v/>
      </c>
      <c r="P492" s="164" t="n"/>
    </row>
    <row r="493">
      <c r="A493" s="173" t="n"/>
      <c r="B493" s="164" t="n"/>
      <c r="C493" s="164" t="n"/>
      <c r="D493" s="164" t="n"/>
      <c r="E493" s="164" t="n"/>
      <c r="F493" s="164" t="n"/>
      <c r="G493" s="164" t="n"/>
      <c r="H493" s="164" t="n"/>
      <c r="I493" s="166" t="n"/>
      <c r="J493" s="166" t="n"/>
      <c r="K493" s="166" t="n"/>
      <c r="L493" s="168" t="n"/>
      <c r="M493" s="167">
        <f>H493*I493+J493+K493</f>
        <v/>
      </c>
      <c r="N493" s="167">
        <f>M493*L493</f>
        <v/>
      </c>
      <c r="O493" s="167">
        <f>M493+N493</f>
        <v/>
      </c>
      <c r="P493" s="164" t="n"/>
    </row>
    <row r="494">
      <c r="A494" s="173" t="n"/>
      <c r="B494" s="164" t="n"/>
      <c r="C494" s="164" t="n"/>
      <c r="D494" s="164" t="n"/>
      <c r="E494" s="164" t="n"/>
      <c r="F494" s="164" t="n"/>
      <c r="G494" s="164" t="n"/>
      <c r="H494" s="164" t="n"/>
      <c r="I494" s="166" t="n"/>
      <c r="J494" s="166" t="n"/>
      <c r="K494" s="166" t="n"/>
      <c r="L494" s="168" t="n"/>
      <c r="M494" s="167">
        <f>H494*I494+J494+K494</f>
        <v/>
      </c>
      <c r="N494" s="167">
        <f>M494*L494</f>
        <v/>
      </c>
      <c r="O494" s="167">
        <f>M494+N494</f>
        <v/>
      </c>
      <c r="P494" s="164" t="n"/>
    </row>
    <row r="495">
      <c r="A495" s="173" t="n"/>
      <c r="B495" s="164" t="n"/>
      <c r="C495" s="164" t="n"/>
      <c r="D495" s="164" t="n"/>
      <c r="E495" s="164" t="n"/>
      <c r="F495" s="164" t="n"/>
      <c r="G495" s="164" t="n"/>
      <c r="H495" s="164" t="n"/>
      <c r="I495" s="166" t="n"/>
      <c r="J495" s="166" t="n"/>
      <c r="K495" s="166" t="n"/>
      <c r="L495" s="168" t="n"/>
      <c r="M495" s="167">
        <f>H495*I495+J495+K495</f>
        <v/>
      </c>
      <c r="N495" s="167">
        <f>M495*L495</f>
        <v/>
      </c>
      <c r="O495" s="167">
        <f>M495+N495</f>
        <v/>
      </c>
      <c r="P495" s="164" t="n"/>
    </row>
    <row r="496">
      <c r="A496" s="173" t="n"/>
      <c r="B496" s="164" t="n"/>
      <c r="C496" s="164" t="n"/>
      <c r="D496" s="164" t="n"/>
      <c r="E496" s="164" t="n"/>
      <c r="F496" s="164" t="n"/>
      <c r="G496" s="164" t="n"/>
      <c r="H496" s="164" t="n"/>
      <c r="I496" s="166" t="n"/>
      <c r="J496" s="166" t="n"/>
      <c r="K496" s="166" t="n"/>
      <c r="L496" s="168" t="n"/>
      <c r="M496" s="167">
        <f>H496*I496+J496+K496</f>
        <v/>
      </c>
      <c r="N496" s="167">
        <f>M496*L496</f>
        <v/>
      </c>
      <c r="O496" s="167">
        <f>M496+N496</f>
        <v/>
      </c>
      <c r="P496" s="164" t="n"/>
    </row>
    <row r="497">
      <c r="A497" s="173" t="n"/>
      <c r="B497" s="164" t="n"/>
      <c r="C497" s="164" t="n"/>
      <c r="D497" s="164" t="n"/>
      <c r="E497" s="164" t="n"/>
      <c r="F497" s="164" t="n"/>
      <c r="G497" s="164" t="n"/>
      <c r="H497" s="164" t="n"/>
      <c r="I497" s="166" t="n"/>
      <c r="J497" s="166" t="n"/>
      <c r="K497" s="166" t="n"/>
      <c r="L497" s="168" t="n"/>
      <c r="M497" s="167">
        <f>H497*I497+J497+K497</f>
        <v/>
      </c>
      <c r="N497" s="167">
        <f>M497*L497</f>
        <v/>
      </c>
      <c r="O497" s="167">
        <f>M497+N497</f>
        <v/>
      </c>
      <c r="P497" s="164" t="n"/>
    </row>
    <row r="498">
      <c r="A498" s="173" t="n"/>
      <c r="B498" s="164" t="n"/>
      <c r="C498" s="164" t="n"/>
      <c r="D498" s="164" t="n"/>
      <c r="E498" s="164" t="n"/>
      <c r="F498" s="164" t="n"/>
      <c r="G498" s="164" t="n"/>
      <c r="H498" s="164" t="n"/>
      <c r="I498" s="166" t="n"/>
      <c r="J498" s="166" t="n"/>
      <c r="K498" s="166" t="n"/>
      <c r="L498" s="168" t="n"/>
      <c r="M498" s="167">
        <f>H498*I498+J498+K498</f>
        <v/>
      </c>
      <c r="N498" s="167">
        <f>M498*L498</f>
        <v/>
      </c>
      <c r="O498" s="167">
        <f>M498+N498</f>
        <v/>
      </c>
      <c r="P498" s="164" t="n"/>
    </row>
    <row r="499">
      <c r="A499" s="173" t="n"/>
      <c r="B499" s="164" t="n"/>
      <c r="C499" s="164" t="n"/>
      <c r="D499" s="164" t="n"/>
      <c r="E499" s="164" t="n"/>
      <c r="F499" s="164" t="n"/>
      <c r="G499" s="164" t="n"/>
      <c r="H499" s="164" t="n"/>
      <c r="I499" s="166" t="n"/>
      <c r="J499" s="166" t="n"/>
      <c r="K499" s="166" t="n"/>
      <c r="L499" s="168" t="n"/>
      <c r="M499" s="167">
        <f>H499*I499+J499+K499</f>
        <v/>
      </c>
      <c r="N499" s="167">
        <f>M499*L499</f>
        <v/>
      </c>
      <c r="O499" s="167">
        <f>M499+N499</f>
        <v/>
      </c>
      <c r="P499" s="164" t="n"/>
    </row>
    <row r="500">
      <c r="A500" s="173" t="n"/>
      <c r="B500" s="164" t="n"/>
      <c r="C500" s="164" t="n"/>
      <c r="D500" s="164" t="n"/>
      <c r="E500" s="164" t="n"/>
      <c r="F500" s="164" t="n"/>
      <c r="G500" s="164" t="n"/>
      <c r="H500" s="164" t="n"/>
      <c r="I500" s="166" t="n"/>
      <c r="J500" s="166" t="n"/>
      <c r="K500" s="166" t="n"/>
      <c r="L500" s="168" t="n"/>
      <c r="M500" s="167">
        <f>H500*I500+J500+K500</f>
        <v/>
      </c>
      <c r="N500" s="167">
        <f>M500*L500</f>
        <v/>
      </c>
      <c r="O500" s="167">
        <f>M500+N500</f>
        <v/>
      </c>
      <c r="P500" s="164" t="n"/>
    </row>
    <row r="501">
      <c r="A501" s="173" t="n"/>
      <c r="B501" s="164" t="n"/>
      <c r="C501" s="164" t="n"/>
      <c r="D501" s="164" t="n"/>
      <c r="E501" s="164" t="n"/>
      <c r="F501" s="164" t="n"/>
      <c r="G501" s="164" t="n"/>
      <c r="H501" s="164" t="n"/>
      <c r="I501" s="166" t="n"/>
      <c r="J501" s="166" t="n"/>
      <c r="K501" s="166" t="n"/>
      <c r="L501" s="168" t="n"/>
      <c r="M501" s="167">
        <f>H501*I501+J501+K501</f>
        <v/>
      </c>
      <c r="N501" s="167">
        <f>M501*L501</f>
        <v/>
      </c>
      <c r="O501" s="167">
        <f>M501+N501</f>
        <v/>
      </c>
      <c r="P501" s="164" t="n"/>
    </row>
    <row r="502">
      <c r="A502" s="173" t="n"/>
      <c r="B502" s="164" t="n"/>
      <c r="C502" s="164" t="n"/>
      <c r="D502" s="164" t="n"/>
      <c r="E502" s="164" t="n"/>
      <c r="F502" s="164" t="n"/>
      <c r="G502" s="164" t="n"/>
      <c r="H502" s="164" t="n"/>
      <c r="I502" s="166" t="n"/>
      <c r="J502" s="166" t="n"/>
      <c r="K502" s="166" t="n"/>
      <c r="L502" s="168" t="n"/>
      <c r="M502" s="167">
        <f>H502*I502+J502+K502</f>
        <v/>
      </c>
      <c r="N502" s="167">
        <f>M502*L502</f>
        <v/>
      </c>
      <c r="O502" s="167">
        <f>M502+N502</f>
        <v/>
      </c>
      <c r="P502" s="164" t="n"/>
    </row>
    <row r="503">
      <c r="A503" s="173" t="n"/>
      <c r="B503" s="164" t="n"/>
      <c r="C503" s="164" t="n"/>
      <c r="D503" s="164" t="n"/>
      <c r="E503" s="164" t="n"/>
      <c r="F503" s="164" t="n"/>
      <c r="G503" s="164" t="n"/>
      <c r="H503" s="164" t="n"/>
      <c r="I503" s="166" t="n"/>
      <c r="J503" s="166" t="n"/>
      <c r="K503" s="166" t="n"/>
      <c r="L503" s="168" t="n"/>
      <c r="M503" s="167">
        <f>H503*I503+J503+K503</f>
        <v/>
      </c>
      <c r="N503" s="167">
        <f>M503*L503</f>
        <v/>
      </c>
      <c r="O503" s="167">
        <f>M503+N503</f>
        <v/>
      </c>
      <c r="P503" s="164" t="n"/>
    </row>
    <row r="504">
      <c r="A504" s="173" t="n"/>
      <c r="B504" s="164" t="n"/>
      <c r="C504" s="164" t="n"/>
      <c r="D504" s="164" t="n"/>
      <c r="E504" s="164" t="n"/>
      <c r="F504" s="164" t="n"/>
      <c r="G504" s="164" t="n"/>
      <c r="H504" s="164" t="n"/>
      <c r="I504" s="166" t="n"/>
      <c r="J504" s="166" t="n"/>
      <c r="K504" s="166" t="n"/>
      <c r="L504" s="168" t="n"/>
      <c r="M504" s="167">
        <f>H504*I504+J504+K504</f>
        <v/>
      </c>
      <c r="N504" s="167">
        <f>M504*L504</f>
        <v/>
      </c>
      <c r="O504" s="167">
        <f>M504+N504</f>
        <v/>
      </c>
      <c r="P504" s="164" t="n"/>
    </row>
    <row r="505">
      <c r="A505" s="173" t="n"/>
      <c r="B505" s="164" t="n"/>
      <c r="C505" s="164" t="n"/>
      <c r="D505" s="164" t="n"/>
      <c r="E505" s="164" t="n"/>
      <c r="F505" s="164" t="n"/>
      <c r="G505" s="164" t="n"/>
      <c r="H505" s="164" t="n"/>
      <c r="I505" s="166" t="n"/>
      <c r="J505" s="166" t="n"/>
      <c r="K505" s="166" t="n"/>
      <c r="L505" s="168" t="n"/>
      <c r="M505" s="167">
        <f>H505*I505+J505+K505</f>
        <v/>
      </c>
      <c r="N505" s="167">
        <f>M505*L505</f>
        <v/>
      </c>
      <c r="O505" s="167">
        <f>M505+N505</f>
        <v/>
      </c>
      <c r="P505" s="164" t="n"/>
    </row>
    <row r="506">
      <c r="A506" s="173" t="n"/>
      <c r="B506" s="164" t="n"/>
      <c r="C506" s="164" t="n"/>
      <c r="D506" s="164" t="n"/>
      <c r="E506" s="164" t="n"/>
      <c r="F506" s="164" t="n"/>
      <c r="G506" s="164" t="n"/>
      <c r="H506" s="164" t="n"/>
      <c r="I506" s="166" t="n"/>
      <c r="J506" s="166" t="n"/>
      <c r="K506" s="166" t="n"/>
      <c r="L506" s="168" t="n"/>
      <c r="M506" s="167">
        <f>H506*I506+J506+K506</f>
        <v/>
      </c>
      <c r="N506" s="167">
        <f>M506*L506</f>
        <v/>
      </c>
      <c r="O506" s="167">
        <f>M506+N506</f>
        <v/>
      </c>
      <c r="P506" s="164" t="n"/>
    </row>
    <row r="507">
      <c r="A507" s="173" t="n"/>
      <c r="B507" s="164" t="n"/>
      <c r="C507" s="164" t="n"/>
      <c r="D507" s="164" t="n"/>
      <c r="E507" s="164" t="n"/>
      <c r="F507" s="164" t="n"/>
      <c r="G507" s="164" t="n"/>
      <c r="H507" s="164" t="n"/>
      <c r="I507" s="166" t="n"/>
      <c r="J507" s="166" t="n"/>
      <c r="K507" s="166" t="n"/>
      <c r="L507" s="168" t="n"/>
      <c r="M507" s="167">
        <f>H507*I507+J507+K507</f>
        <v/>
      </c>
      <c r="N507" s="167">
        <f>M507*L507</f>
        <v/>
      </c>
      <c r="O507" s="167">
        <f>M507+N507</f>
        <v/>
      </c>
      <c r="P507" s="164" t="n"/>
    </row>
    <row r="508">
      <c r="A508" s="173" t="n"/>
      <c r="B508" s="164" t="n"/>
      <c r="C508" s="164" t="n"/>
      <c r="D508" s="164" t="n"/>
      <c r="E508" s="164" t="n"/>
      <c r="F508" s="164" t="n"/>
      <c r="G508" s="164" t="n"/>
      <c r="H508" s="164" t="n"/>
      <c r="I508" s="166" t="n"/>
      <c r="J508" s="166" t="n"/>
      <c r="K508" s="166" t="n"/>
      <c r="L508" s="168" t="n"/>
      <c r="M508" s="167">
        <f>H508*I508+J508+K508</f>
        <v/>
      </c>
      <c r="N508" s="167">
        <f>M508*L508</f>
        <v/>
      </c>
      <c r="O508" s="167">
        <f>M508+N508</f>
        <v/>
      </c>
      <c r="P508" s="164" t="n"/>
    </row>
    <row r="509">
      <c r="A509" s="173" t="n"/>
      <c r="B509" s="164" t="n"/>
      <c r="C509" s="164" t="n"/>
      <c r="D509" s="164" t="n"/>
      <c r="E509" s="164" t="n"/>
      <c r="F509" s="164" t="n"/>
      <c r="G509" s="164" t="n"/>
      <c r="H509" s="164" t="n"/>
      <c r="I509" s="166" t="n"/>
      <c r="J509" s="166" t="n"/>
      <c r="K509" s="166" t="n"/>
      <c r="L509" s="168" t="n"/>
      <c r="M509" s="167">
        <f>H509*I509+J509+K509</f>
        <v/>
      </c>
      <c r="N509" s="167">
        <f>M509*L509</f>
        <v/>
      </c>
      <c r="O509" s="167">
        <f>M509+N509</f>
        <v/>
      </c>
      <c r="P509" s="164" t="n"/>
    </row>
    <row r="510">
      <c r="A510" s="173" t="n"/>
      <c r="B510" s="164" t="n"/>
      <c r="C510" s="164" t="n"/>
      <c r="D510" s="164" t="n"/>
      <c r="E510" s="164" t="n"/>
      <c r="F510" s="164" t="n"/>
      <c r="G510" s="164" t="n"/>
      <c r="H510" s="164" t="n"/>
      <c r="I510" s="166" t="n"/>
      <c r="J510" s="166" t="n"/>
      <c r="K510" s="166" t="n"/>
      <c r="L510" s="168" t="n"/>
      <c r="M510" s="167">
        <f>H510*I510+J510+K510</f>
        <v/>
      </c>
      <c r="N510" s="167">
        <f>M510*L510</f>
        <v/>
      </c>
      <c r="O510" s="167">
        <f>M510+N510</f>
        <v/>
      </c>
      <c r="P510" s="164" t="n"/>
    </row>
    <row r="511">
      <c r="A511" s="173" t="n"/>
      <c r="B511" s="164" t="n"/>
      <c r="C511" s="164" t="n"/>
      <c r="D511" s="164" t="n"/>
      <c r="E511" s="164" t="n"/>
      <c r="F511" s="164" t="n"/>
      <c r="G511" s="164" t="n"/>
      <c r="H511" s="164" t="n"/>
      <c r="I511" s="166" t="n"/>
      <c r="J511" s="166" t="n"/>
      <c r="K511" s="166" t="n"/>
      <c r="L511" s="168" t="n"/>
      <c r="M511" s="167">
        <f>H511*I511+J511+K511</f>
        <v/>
      </c>
      <c r="N511" s="167">
        <f>M511*L511</f>
        <v/>
      </c>
      <c r="O511" s="167">
        <f>M511+N511</f>
        <v/>
      </c>
      <c r="P511" s="164" t="n"/>
    </row>
    <row r="512">
      <c r="A512" s="173" t="n"/>
      <c r="B512" s="164" t="n"/>
      <c r="C512" s="164" t="n"/>
      <c r="D512" s="164" t="n"/>
      <c r="E512" s="164" t="n"/>
      <c r="F512" s="164" t="n"/>
      <c r="G512" s="164" t="n"/>
      <c r="H512" s="164" t="n"/>
      <c r="I512" s="166" t="n"/>
      <c r="J512" s="166" t="n"/>
      <c r="K512" s="166" t="n"/>
      <c r="L512" s="168" t="n"/>
      <c r="M512" s="167">
        <f>H512*I512+J512+K512</f>
        <v/>
      </c>
      <c r="N512" s="167">
        <f>M512*L512</f>
        <v/>
      </c>
      <c r="O512" s="167">
        <f>M512+N512</f>
        <v/>
      </c>
      <c r="P512" s="164" t="n"/>
    </row>
    <row r="513">
      <c r="A513" s="173" t="n"/>
      <c r="B513" s="164" t="n"/>
      <c r="C513" s="164" t="n"/>
      <c r="D513" s="164" t="n"/>
      <c r="E513" s="164" t="n"/>
      <c r="F513" s="164" t="n"/>
      <c r="G513" s="164" t="n"/>
      <c r="H513" s="164" t="n"/>
      <c r="I513" s="166" t="n"/>
      <c r="J513" s="166" t="n"/>
      <c r="K513" s="166" t="n"/>
      <c r="L513" s="168" t="n"/>
      <c r="M513" s="167">
        <f>H513*I513+J513+K513</f>
        <v/>
      </c>
      <c r="N513" s="167">
        <f>M513*L513</f>
        <v/>
      </c>
      <c r="O513" s="167">
        <f>M513+N513</f>
        <v/>
      </c>
      <c r="P513" s="164" t="n"/>
    </row>
    <row r="514">
      <c r="A514" s="173" t="n"/>
      <c r="B514" s="164" t="n"/>
      <c r="C514" s="164" t="n"/>
      <c r="D514" s="164" t="n"/>
      <c r="E514" s="164" t="n"/>
      <c r="F514" s="164" t="n"/>
      <c r="G514" s="164" t="n"/>
      <c r="H514" s="164" t="n"/>
      <c r="I514" s="166" t="n"/>
      <c r="J514" s="166" t="n"/>
      <c r="K514" s="166" t="n"/>
      <c r="L514" s="168" t="n"/>
      <c r="M514" s="167">
        <f>H514*I514+J514+K514</f>
        <v/>
      </c>
      <c r="N514" s="167">
        <f>M514*L514</f>
        <v/>
      </c>
      <c r="O514" s="167">
        <f>M514+N514</f>
        <v/>
      </c>
      <c r="P514" s="164" t="n"/>
    </row>
    <row r="515">
      <c r="A515" s="173" t="n"/>
      <c r="B515" s="164" t="n"/>
      <c r="C515" s="164" t="n"/>
      <c r="D515" s="164" t="n"/>
      <c r="E515" s="164" t="n"/>
      <c r="F515" s="164" t="n"/>
      <c r="G515" s="164" t="n"/>
      <c r="H515" s="164" t="n"/>
      <c r="I515" s="166" t="n"/>
      <c r="J515" s="166" t="n"/>
      <c r="K515" s="166" t="n"/>
      <c r="L515" s="168" t="n"/>
      <c r="M515" s="167">
        <f>H515*I515+J515+K515</f>
        <v/>
      </c>
      <c r="N515" s="167">
        <f>M515*L515</f>
        <v/>
      </c>
      <c r="O515" s="167">
        <f>M515+N515</f>
        <v/>
      </c>
      <c r="P515" s="164" t="n"/>
    </row>
    <row r="516">
      <c r="A516" s="173" t="n"/>
      <c r="B516" s="164" t="n"/>
      <c r="C516" s="164" t="n"/>
      <c r="D516" s="164" t="n"/>
      <c r="E516" s="164" t="n"/>
      <c r="F516" s="164" t="n"/>
      <c r="G516" s="164" t="n"/>
      <c r="H516" s="164" t="n"/>
      <c r="I516" s="166" t="n"/>
      <c r="J516" s="166" t="n"/>
      <c r="K516" s="166" t="n"/>
      <c r="L516" s="168" t="n"/>
      <c r="M516" s="167">
        <f>H516*I516+J516+K516</f>
        <v/>
      </c>
      <c r="N516" s="167">
        <f>M516*L516</f>
        <v/>
      </c>
      <c r="O516" s="167">
        <f>M516+N516</f>
        <v/>
      </c>
      <c r="P516" s="164" t="n"/>
    </row>
    <row r="517">
      <c r="A517" s="173" t="n"/>
      <c r="B517" s="164" t="n"/>
      <c r="C517" s="164" t="n"/>
      <c r="D517" s="164" t="n"/>
      <c r="E517" s="164" t="n"/>
      <c r="F517" s="164" t="n"/>
      <c r="G517" s="164" t="n"/>
      <c r="H517" s="164" t="n"/>
      <c r="I517" s="166" t="n"/>
      <c r="J517" s="166" t="n"/>
      <c r="K517" s="166" t="n"/>
      <c r="L517" s="168" t="n"/>
      <c r="M517" s="167">
        <f>H517*I517+J517+K517</f>
        <v/>
      </c>
      <c r="N517" s="167">
        <f>M517*L517</f>
        <v/>
      </c>
      <c r="O517" s="167">
        <f>M517+N517</f>
        <v/>
      </c>
      <c r="P517" s="164" t="n"/>
    </row>
    <row r="518">
      <c r="A518" s="173" t="n"/>
      <c r="B518" s="164" t="n"/>
      <c r="C518" s="164" t="n"/>
      <c r="D518" s="164" t="n"/>
      <c r="E518" s="164" t="n"/>
      <c r="F518" s="164" t="n"/>
      <c r="G518" s="164" t="n"/>
      <c r="H518" s="164" t="n"/>
      <c r="I518" s="166" t="n"/>
      <c r="J518" s="166" t="n"/>
      <c r="K518" s="166" t="n"/>
      <c r="L518" s="168" t="n"/>
      <c r="M518" s="167">
        <f>H518*I518+J518+K518</f>
        <v/>
      </c>
      <c r="N518" s="167">
        <f>M518*L518</f>
        <v/>
      </c>
      <c r="O518" s="167">
        <f>M518+N518</f>
        <v/>
      </c>
      <c r="P518" s="164" t="n"/>
    </row>
    <row r="519">
      <c r="A519" s="173" t="n"/>
      <c r="B519" s="164" t="n"/>
      <c r="C519" s="164" t="n"/>
      <c r="D519" s="164" t="n"/>
      <c r="E519" s="164" t="n"/>
      <c r="F519" s="164" t="n"/>
      <c r="G519" s="164" t="n"/>
      <c r="H519" s="164" t="n"/>
      <c r="I519" s="166" t="n"/>
      <c r="J519" s="166" t="n"/>
      <c r="K519" s="166" t="n"/>
      <c r="L519" s="168" t="n"/>
      <c r="M519" s="167">
        <f>H519*I519+J519+K519</f>
        <v/>
      </c>
      <c r="N519" s="167">
        <f>M519*L519</f>
        <v/>
      </c>
      <c r="O519" s="167">
        <f>M519+N519</f>
        <v/>
      </c>
      <c r="P519" s="164" t="n"/>
    </row>
    <row r="520">
      <c r="A520" s="173" t="n"/>
      <c r="B520" s="164" t="n"/>
      <c r="C520" s="164" t="n"/>
      <c r="D520" s="164" t="n"/>
      <c r="E520" s="164" t="n"/>
      <c r="F520" s="164" t="n"/>
      <c r="G520" s="164" t="n"/>
      <c r="H520" s="164" t="n"/>
      <c r="I520" s="166" t="n"/>
      <c r="J520" s="166" t="n"/>
      <c r="K520" s="166" t="n"/>
      <c r="L520" s="168" t="n"/>
      <c r="M520" s="167">
        <f>H520*I520+J520+K520</f>
        <v/>
      </c>
      <c r="N520" s="167">
        <f>M520*L520</f>
        <v/>
      </c>
      <c r="O520" s="167">
        <f>M520+N520</f>
        <v/>
      </c>
      <c r="P520" s="164" t="n"/>
    </row>
    <row r="521">
      <c r="A521" s="173" t="n"/>
      <c r="B521" s="164" t="n"/>
      <c r="C521" s="164" t="n"/>
      <c r="D521" s="164" t="n"/>
      <c r="E521" s="164" t="n"/>
      <c r="F521" s="164" t="n"/>
      <c r="G521" s="164" t="n"/>
      <c r="H521" s="164" t="n"/>
      <c r="I521" s="166" t="n"/>
      <c r="J521" s="166" t="n"/>
      <c r="K521" s="166" t="n"/>
      <c r="L521" s="168" t="n"/>
      <c r="M521" s="167">
        <f>H521*I521+J521+K521</f>
        <v/>
      </c>
      <c r="N521" s="167">
        <f>M521*L521</f>
        <v/>
      </c>
      <c r="O521" s="167">
        <f>M521+N521</f>
        <v/>
      </c>
      <c r="P521" s="164" t="n"/>
    </row>
    <row r="522">
      <c r="A522" s="173" t="n"/>
      <c r="B522" s="164" t="n"/>
      <c r="C522" s="164" t="n"/>
      <c r="D522" s="164" t="n"/>
      <c r="E522" s="164" t="n"/>
      <c r="F522" s="164" t="n"/>
      <c r="G522" s="164" t="n"/>
      <c r="H522" s="164" t="n"/>
      <c r="I522" s="166" t="n"/>
      <c r="J522" s="166" t="n"/>
      <c r="K522" s="166" t="n"/>
      <c r="L522" s="168" t="n"/>
      <c r="M522" s="167">
        <f>H522*I522+J522+K522</f>
        <v/>
      </c>
      <c r="N522" s="167">
        <f>M522*L522</f>
        <v/>
      </c>
      <c r="O522" s="167">
        <f>M522+N522</f>
        <v/>
      </c>
      <c r="P522" s="164" t="n"/>
    </row>
    <row r="523">
      <c r="A523" s="173" t="n"/>
      <c r="B523" s="164" t="n"/>
      <c r="C523" s="164" t="n"/>
      <c r="D523" s="164" t="n"/>
      <c r="E523" s="164" t="n"/>
      <c r="F523" s="164" t="n"/>
      <c r="G523" s="164" t="n"/>
      <c r="H523" s="164" t="n"/>
      <c r="I523" s="166" t="n"/>
      <c r="J523" s="166" t="n"/>
      <c r="K523" s="166" t="n"/>
      <c r="L523" s="168" t="n"/>
      <c r="M523" s="167">
        <f>H523*I523+J523+K523</f>
        <v/>
      </c>
      <c r="N523" s="167">
        <f>M523*L523</f>
        <v/>
      </c>
      <c r="O523" s="167">
        <f>M523+N523</f>
        <v/>
      </c>
      <c r="P523" s="164" t="n"/>
    </row>
    <row r="524">
      <c r="A524" s="173" t="n"/>
      <c r="B524" s="164" t="n"/>
      <c r="C524" s="164" t="n"/>
      <c r="D524" s="164" t="n"/>
      <c r="E524" s="164" t="n"/>
      <c r="F524" s="164" t="n"/>
      <c r="G524" s="164" t="n"/>
      <c r="H524" s="164" t="n"/>
      <c r="I524" s="166" t="n"/>
      <c r="J524" s="166" t="n"/>
      <c r="K524" s="166" t="n"/>
      <c r="L524" s="168" t="n"/>
      <c r="M524" s="167">
        <f>H524*I524+J524+K524</f>
        <v/>
      </c>
      <c r="N524" s="167">
        <f>M524*L524</f>
        <v/>
      </c>
      <c r="O524" s="167">
        <f>M524+N524</f>
        <v/>
      </c>
      <c r="P524" s="164" t="n"/>
    </row>
    <row r="525">
      <c r="A525" s="173" t="n"/>
      <c r="B525" s="164" t="n"/>
      <c r="C525" s="164" t="n"/>
      <c r="D525" s="164" t="n"/>
      <c r="E525" s="164" t="n"/>
      <c r="F525" s="164" t="n"/>
      <c r="G525" s="164" t="n"/>
      <c r="H525" s="164" t="n"/>
      <c r="I525" s="166" t="n"/>
      <c r="J525" s="166" t="n"/>
      <c r="K525" s="166" t="n"/>
      <c r="L525" s="168" t="n"/>
      <c r="M525" s="167">
        <f>H525*I525+J525+K525</f>
        <v/>
      </c>
      <c r="N525" s="167">
        <f>M525*L525</f>
        <v/>
      </c>
      <c r="O525" s="167">
        <f>M525+N525</f>
        <v/>
      </c>
      <c r="P525" s="164" t="n"/>
    </row>
    <row r="526">
      <c r="A526" s="173" t="n"/>
      <c r="B526" s="164" t="n"/>
      <c r="C526" s="164" t="n"/>
      <c r="D526" s="164" t="n"/>
      <c r="E526" s="164" t="n"/>
      <c r="F526" s="164" t="n"/>
      <c r="G526" s="164" t="n"/>
      <c r="H526" s="164" t="n"/>
      <c r="I526" s="166" t="n"/>
      <c r="J526" s="166" t="n"/>
      <c r="K526" s="166" t="n"/>
      <c r="L526" s="168" t="n"/>
      <c r="M526" s="167">
        <f>H526*I526+J526+K526</f>
        <v/>
      </c>
      <c r="N526" s="167">
        <f>M526*L526</f>
        <v/>
      </c>
      <c r="O526" s="167">
        <f>M526+N526</f>
        <v/>
      </c>
      <c r="P526" s="164" t="n"/>
    </row>
    <row r="527">
      <c r="A527" s="173" t="n"/>
      <c r="B527" s="164" t="n"/>
      <c r="C527" s="164" t="n"/>
      <c r="D527" s="164" t="n"/>
      <c r="E527" s="164" t="n"/>
      <c r="F527" s="164" t="n"/>
      <c r="G527" s="164" t="n"/>
      <c r="H527" s="164" t="n"/>
      <c r="I527" s="166" t="n"/>
      <c r="J527" s="166" t="n"/>
      <c r="K527" s="166" t="n"/>
      <c r="L527" s="168" t="n"/>
      <c r="M527" s="167">
        <f>H527*I527+J527+K527</f>
        <v/>
      </c>
      <c r="N527" s="167">
        <f>M527*L527</f>
        <v/>
      </c>
      <c r="O527" s="167">
        <f>M527+N527</f>
        <v/>
      </c>
      <c r="P527" s="164" t="n"/>
    </row>
    <row r="528">
      <c r="A528" s="173" t="n"/>
      <c r="B528" s="164" t="n"/>
      <c r="C528" s="164" t="n"/>
      <c r="D528" s="164" t="n"/>
      <c r="E528" s="164" t="n"/>
      <c r="F528" s="164" t="n"/>
      <c r="G528" s="164" t="n"/>
      <c r="H528" s="164" t="n"/>
      <c r="I528" s="166" t="n"/>
      <c r="J528" s="166" t="n"/>
      <c r="K528" s="166" t="n"/>
      <c r="L528" s="168" t="n"/>
      <c r="M528" s="167">
        <f>H528*I528+J528+K528</f>
        <v/>
      </c>
      <c r="N528" s="167">
        <f>M528*L528</f>
        <v/>
      </c>
      <c r="O528" s="167">
        <f>M528+N528</f>
        <v/>
      </c>
      <c r="P528" s="164" t="n"/>
    </row>
    <row r="529">
      <c r="A529" s="173" t="n"/>
      <c r="B529" s="164" t="n"/>
      <c r="C529" s="164" t="n"/>
      <c r="D529" s="164" t="n"/>
      <c r="E529" s="164" t="n"/>
      <c r="F529" s="164" t="n"/>
      <c r="G529" s="164" t="n"/>
      <c r="H529" s="164" t="n"/>
      <c r="I529" s="166" t="n"/>
      <c r="J529" s="166" t="n"/>
      <c r="K529" s="166" t="n"/>
      <c r="L529" s="168" t="n"/>
      <c r="M529" s="167">
        <f>H529*I529+J529+K529</f>
        <v/>
      </c>
      <c r="N529" s="167">
        <f>M529*L529</f>
        <v/>
      </c>
      <c r="O529" s="167">
        <f>M529+N529</f>
        <v/>
      </c>
      <c r="P529" s="164" t="n"/>
    </row>
    <row r="530">
      <c r="A530" s="173" t="n"/>
      <c r="B530" s="164" t="n"/>
      <c r="C530" s="164" t="n"/>
      <c r="D530" s="164" t="n"/>
      <c r="E530" s="164" t="n"/>
      <c r="F530" s="164" t="n"/>
      <c r="G530" s="164" t="n"/>
      <c r="H530" s="164" t="n"/>
      <c r="I530" s="166" t="n"/>
      <c r="J530" s="166" t="n"/>
      <c r="K530" s="166" t="n"/>
      <c r="L530" s="168" t="n"/>
      <c r="M530" s="167">
        <f>H530*I530+J530+K530</f>
        <v/>
      </c>
      <c r="N530" s="167">
        <f>M530*L530</f>
        <v/>
      </c>
      <c r="O530" s="167">
        <f>M530+N530</f>
        <v/>
      </c>
      <c r="P530" s="164" t="n"/>
    </row>
    <row r="531">
      <c r="A531" s="173" t="n"/>
      <c r="B531" s="164" t="n"/>
      <c r="C531" s="164" t="n"/>
      <c r="D531" s="164" t="n"/>
      <c r="E531" s="164" t="n"/>
      <c r="F531" s="164" t="n"/>
      <c r="G531" s="164" t="n"/>
      <c r="H531" s="164" t="n"/>
      <c r="I531" s="166" t="n"/>
      <c r="J531" s="166" t="n"/>
      <c r="K531" s="166" t="n"/>
      <c r="L531" s="168" t="n"/>
      <c r="M531" s="167">
        <f>H531*I531+J531+K531</f>
        <v/>
      </c>
      <c r="N531" s="167">
        <f>M531*L531</f>
        <v/>
      </c>
      <c r="O531" s="167">
        <f>M531+N531</f>
        <v/>
      </c>
      <c r="P531" s="164" t="n"/>
    </row>
    <row r="532">
      <c r="A532" s="173" t="n"/>
      <c r="B532" s="164" t="n"/>
      <c r="C532" s="164" t="n"/>
      <c r="D532" s="164" t="n"/>
      <c r="E532" s="164" t="n"/>
      <c r="F532" s="164" t="n"/>
      <c r="G532" s="164" t="n"/>
      <c r="H532" s="164" t="n"/>
      <c r="I532" s="166" t="n"/>
      <c r="J532" s="166" t="n"/>
      <c r="K532" s="166" t="n"/>
      <c r="L532" s="168" t="n"/>
      <c r="M532" s="167">
        <f>H532*I532+J532+K532</f>
        <v/>
      </c>
      <c r="N532" s="167">
        <f>M532*L532</f>
        <v/>
      </c>
      <c r="O532" s="167">
        <f>M532+N532</f>
        <v/>
      </c>
      <c r="P532" s="164" t="n"/>
    </row>
    <row r="533">
      <c r="A533" s="173" t="n"/>
      <c r="B533" s="164" t="n"/>
      <c r="C533" s="164" t="n"/>
      <c r="D533" s="164" t="n"/>
      <c r="E533" s="164" t="n"/>
      <c r="F533" s="164" t="n"/>
      <c r="G533" s="164" t="n"/>
      <c r="H533" s="164" t="n"/>
      <c r="I533" s="166" t="n"/>
      <c r="J533" s="166" t="n"/>
      <c r="K533" s="166" t="n"/>
      <c r="L533" s="168" t="n"/>
      <c r="M533" s="167">
        <f>H533*I533+J533+K533</f>
        <v/>
      </c>
      <c r="N533" s="167">
        <f>M533*L533</f>
        <v/>
      </c>
      <c r="O533" s="167">
        <f>M533+N533</f>
        <v/>
      </c>
      <c r="P533" s="164" t="n"/>
    </row>
    <row r="534">
      <c r="A534" s="173" t="n"/>
      <c r="B534" s="164" t="n"/>
      <c r="C534" s="164" t="n"/>
      <c r="D534" s="164" t="n"/>
      <c r="E534" s="164" t="n"/>
      <c r="F534" s="164" t="n"/>
      <c r="G534" s="164" t="n"/>
      <c r="H534" s="164" t="n"/>
      <c r="I534" s="166" t="n"/>
      <c r="J534" s="166" t="n"/>
      <c r="K534" s="166" t="n"/>
      <c r="L534" s="168" t="n"/>
      <c r="M534" s="167">
        <f>H534*I534+J534+K534</f>
        <v/>
      </c>
      <c r="N534" s="167">
        <f>M534*L534</f>
        <v/>
      </c>
      <c r="O534" s="167">
        <f>M534+N534</f>
        <v/>
      </c>
      <c r="P534" s="164" t="n"/>
    </row>
    <row r="535">
      <c r="A535" s="173" t="n"/>
      <c r="B535" s="164" t="n"/>
      <c r="C535" s="164" t="n"/>
      <c r="D535" s="164" t="n"/>
      <c r="E535" s="164" t="n"/>
      <c r="F535" s="164" t="n"/>
      <c r="G535" s="164" t="n"/>
      <c r="H535" s="164" t="n"/>
      <c r="I535" s="166" t="n"/>
      <c r="J535" s="166" t="n"/>
      <c r="K535" s="166" t="n"/>
      <c r="L535" s="168" t="n"/>
      <c r="M535" s="167">
        <f>H535*I535+J535+K535</f>
        <v/>
      </c>
      <c r="N535" s="167">
        <f>M535*L535</f>
        <v/>
      </c>
      <c r="O535" s="167">
        <f>M535+N535</f>
        <v/>
      </c>
      <c r="P535" s="164" t="n"/>
    </row>
    <row r="536">
      <c r="A536" s="173" t="n"/>
      <c r="B536" s="164" t="n"/>
      <c r="C536" s="164" t="n"/>
      <c r="D536" s="164" t="n"/>
      <c r="E536" s="164" t="n"/>
      <c r="F536" s="164" t="n"/>
      <c r="G536" s="164" t="n"/>
      <c r="H536" s="164" t="n"/>
      <c r="I536" s="166" t="n"/>
      <c r="J536" s="166" t="n"/>
      <c r="K536" s="166" t="n"/>
      <c r="L536" s="168" t="n"/>
      <c r="M536" s="167">
        <f>H536*I536+J536+K536</f>
        <v/>
      </c>
      <c r="N536" s="167">
        <f>M536*L536</f>
        <v/>
      </c>
      <c r="O536" s="167">
        <f>M536+N536</f>
        <v/>
      </c>
      <c r="P536" s="164" t="n"/>
    </row>
    <row r="537">
      <c r="A537" s="173" t="n"/>
      <c r="B537" s="164" t="n"/>
      <c r="C537" s="164" t="n"/>
      <c r="D537" s="164" t="n"/>
      <c r="E537" s="164" t="n"/>
      <c r="F537" s="164" t="n"/>
      <c r="G537" s="164" t="n"/>
      <c r="H537" s="164" t="n"/>
      <c r="I537" s="166" t="n"/>
      <c r="J537" s="166" t="n"/>
      <c r="K537" s="166" t="n"/>
      <c r="L537" s="168" t="n"/>
      <c r="M537" s="167">
        <f>H537*I537+J537+K537</f>
        <v/>
      </c>
      <c r="N537" s="167">
        <f>M537*L537</f>
        <v/>
      </c>
      <c r="O537" s="167">
        <f>M537+N537</f>
        <v/>
      </c>
      <c r="P537" s="164" t="n"/>
    </row>
    <row r="538">
      <c r="A538" s="173" t="n"/>
      <c r="B538" s="164" t="n"/>
      <c r="C538" s="164" t="n"/>
      <c r="D538" s="164" t="n"/>
      <c r="E538" s="164" t="n"/>
      <c r="F538" s="164" t="n"/>
      <c r="G538" s="164" t="n"/>
      <c r="H538" s="164" t="n"/>
      <c r="I538" s="166" t="n"/>
      <c r="J538" s="166" t="n"/>
      <c r="K538" s="166" t="n"/>
      <c r="L538" s="168" t="n"/>
      <c r="M538" s="167">
        <f>H538*I538+J538+K538</f>
        <v/>
      </c>
      <c r="N538" s="167">
        <f>M538*L538</f>
        <v/>
      </c>
      <c r="O538" s="167">
        <f>M538+N538</f>
        <v/>
      </c>
      <c r="P538" s="164" t="n"/>
    </row>
    <row r="539">
      <c r="A539" s="173" t="n"/>
      <c r="B539" s="164" t="n"/>
      <c r="C539" s="164" t="n"/>
      <c r="D539" s="164" t="n"/>
      <c r="E539" s="164" t="n"/>
      <c r="F539" s="164" t="n"/>
      <c r="G539" s="164" t="n"/>
      <c r="H539" s="164" t="n"/>
      <c r="I539" s="166" t="n"/>
      <c r="J539" s="166" t="n"/>
      <c r="K539" s="166" t="n"/>
      <c r="L539" s="168" t="n"/>
      <c r="M539" s="167">
        <f>H539*I539+J539+K539</f>
        <v/>
      </c>
      <c r="N539" s="167">
        <f>M539*L539</f>
        <v/>
      </c>
      <c r="O539" s="167">
        <f>M539+N539</f>
        <v/>
      </c>
      <c r="P539" s="164" t="n"/>
    </row>
    <row r="540">
      <c r="A540" s="173" t="n"/>
      <c r="B540" s="164" t="n"/>
      <c r="C540" s="164" t="n"/>
      <c r="D540" s="164" t="n"/>
      <c r="E540" s="164" t="n"/>
      <c r="F540" s="164" t="n"/>
      <c r="G540" s="164" t="n"/>
      <c r="H540" s="164" t="n"/>
      <c r="I540" s="166" t="n"/>
      <c r="J540" s="166" t="n"/>
      <c r="K540" s="166" t="n"/>
      <c r="L540" s="168" t="n"/>
      <c r="M540" s="167">
        <f>H540*I540+J540+K540</f>
        <v/>
      </c>
      <c r="N540" s="167">
        <f>M540*L540</f>
        <v/>
      </c>
      <c r="O540" s="167">
        <f>M540+N540</f>
        <v/>
      </c>
      <c r="P540" s="164" t="n"/>
    </row>
    <row r="541">
      <c r="A541" s="173" t="n"/>
      <c r="B541" s="164" t="n"/>
      <c r="C541" s="164" t="n"/>
      <c r="D541" s="164" t="n"/>
      <c r="E541" s="164" t="n"/>
      <c r="F541" s="164" t="n"/>
      <c r="G541" s="164" t="n"/>
      <c r="H541" s="164" t="n"/>
      <c r="I541" s="166" t="n"/>
      <c r="J541" s="166" t="n"/>
      <c r="K541" s="166" t="n"/>
      <c r="L541" s="168" t="n"/>
      <c r="M541" s="167">
        <f>H541*I541+J541+K541</f>
        <v/>
      </c>
      <c r="N541" s="167">
        <f>M541*L541</f>
        <v/>
      </c>
      <c r="O541" s="167">
        <f>M541+N541</f>
        <v/>
      </c>
      <c r="P541" s="164" t="n"/>
    </row>
    <row r="542">
      <c r="A542" s="173" t="n"/>
      <c r="B542" s="164" t="n"/>
      <c r="C542" s="164" t="n"/>
      <c r="D542" s="164" t="n"/>
      <c r="E542" s="164" t="n"/>
      <c r="F542" s="164" t="n"/>
      <c r="G542" s="164" t="n"/>
      <c r="H542" s="164" t="n"/>
      <c r="I542" s="166" t="n"/>
      <c r="J542" s="166" t="n"/>
      <c r="K542" s="166" t="n"/>
      <c r="L542" s="168" t="n"/>
      <c r="M542" s="167">
        <f>H542*I542+J542+K542</f>
        <v/>
      </c>
      <c r="N542" s="167">
        <f>M542*L542</f>
        <v/>
      </c>
      <c r="O542" s="167">
        <f>M542+N542</f>
        <v/>
      </c>
      <c r="P542" s="164" t="n"/>
    </row>
    <row r="543">
      <c r="A543" s="173" t="n"/>
      <c r="B543" s="164" t="n"/>
      <c r="C543" s="164" t="n"/>
      <c r="D543" s="164" t="n"/>
      <c r="E543" s="164" t="n"/>
      <c r="F543" s="164" t="n"/>
      <c r="G543" s="164" t="n"/>
      <c r="H543" s="164" t="n"/>
      <c r="I543" s="166" t="n"/>
      <c r="J543" s="166" t="n"/>
      <c r="K543" s="166" t="n"/>
      <c r="L543" s="168" t="n"/>
      <c r="M543" s="167">
        <f>H543*I543+J543+K543</f>
        <v/>
      </c>
      <c r="N543" s="167">
        <f>M543*L543</f>
        <v/>
      </c>
      <c r="O543" s="167">
        <f>M543+N543</f>
        <v/>
      </c>
      <c r="P543" s="164" t="n"/>
    </row>
    <row r="544">
      <c r="A544" s="173" t="n"/>
      <c r="B544" s="164" t="n"/>
      <c r="C544" s="164" t="n"/>
      <c r="D544" s="164" t="n"/>
      <c r="E544" s="164" t="n"/>
      <c r="F544" s="164" t="n"/>
      <c r="G544" s="164" t="n"/>
      <c r="H544" s="164" t="n"/>
      <c r="I544" s="166" t="n"/>
      <c r="J544" s="166" t="n"/>
      <c r="K544" s="166" t="n"/>
      <c r="L544" s="168" t="n"/>
      <c r="M544" s="167">
        <f>H544*I544+J544+K544</f>
        <v/>
      </c>
      <c r="N544" s="167">
        <f>M544*L544</f>
        <v/>
      </c>
      <c r="O544" s="167">
        <f>M544+N544</f>
        <v/>
      </c>
      <c r="P544" s="164" t="n"/>
    </row>
    <row r="545">
      <c r="A545" s="173" t="n"/>
      <c r="B545" s="164" t="n"/>
      <c r="C545" s="164" t="n"/>
      <c r="D545" s="164" t="n"/>
      <c r="E545" s="164" t="n"/>
      <c r="F545" s="164" t="n"/>
      <c r="G545" s="164" t="n"/>
      <c r="H545" s="164" t="n"/>
      <c r="I545" s="166" t="n"/>
      <c r="J545" s="166" t="n"/>
      <c r="K545" s="166" t="n"/>
      <c r="L545" s="168" t="n"/>
      <c r="M545" s="167">
        <f>H545*I545+J545+K545</f>
        <v/>
      </c>
      <c r="N545" s="167">
        <f>M545*L545</f>
        <v/>
      </c>
      <c r="O545" s="167">
        <f>M545+N545</f>
        <v/>
      </c>
      <c r="P545" s="164" t="n"/>
    </row>
    <row r="546">
      <c r="A546" s="173" t="n"/>
      <c r="B546" s="164" t="n"/>
      <c r="C546" s="164" t="n"/>
      <c r="D546" s="164" t="n"/>
      <c r="E546" s="164" t="n"/>
      <c r="F546" s="164" t="n"/>
      <c r="G546" s="164" t="n"/>
      <c r="H546" s="164" t="n"/>
      <c r="I546" s="166" t="n"/>
      <c r="J546" s="166" t="n"/>
      <c r="K546" s="166" t="n"/>
      <c r="L546" s="168" t="n"/>
      <c r="M546" s="167">
        <f>H546*I546+J546+K546</f>
        <v/>
      </c>
      <c r="N546" s="167">
        <f>M546*L546</f>
        <v/>
      </c>
      <c r="O546" s="167">
        <f>M546+N546</f>
        <v/>
      </c>
      <c r="P546" s="164" t="n"/>
    </row>
    <row r="547">
      <c r="A547" s="173" t="n"/>
      <c r="B547" s="164" t="n"/>
      <c r="C547" s="164" t="n"/>
      <c r="D547" s="164" t="n"/>
      <c r="E547" s="164" t="n"/>
      <c r="F547" s="164" t="n"/>
      <c r="G547" s="164" t="n"/>
      <c r="H547" s="164" t="n"/>
      <c r="I547" s="166" t="n"/>
      <c r="J547" s="166" t="n"/>
      <c r="K547" s="166" t="n"/>
      <c r="L547" s="168" t="n"/>
      <c r="M547" s="167">
        <f>H547*I547+J547+K547</f>
        <v/>
      </c>
      <c r="N547" s="167">
        <f>M547*L547</f>
        <v/>
      </c>
      <c r="O547" s="167">
        <f>M547+N547</f>
        <v/>
      </c>
      <c r="P547" s="164" t="n"/>
    </row>
    <row r="548">
      <c r="A548" s="173" t="n"/>
      <c r="B548" s="164" t="n"/>
      <c r="C548" s="164" t="n"/>
      <c r="D548" s="164" t="n"/>
      <c r="E548" s="164" t="n"/>
      <c r="F548" s="164" t="n"/>
      <c r="G548" s="164" t="n"/>
      <c r="H548" s="164" t="n"/>
      <c r="I548" s="166" t="n"/>
      <c r="J548" s="166" t="n"/>
      <c r="K548" s="166" t="n"/>
      <c r="L548" s="168" t="n"/>
      <c r="M548" s="167">
        <f>H548*I548+J548+K548</f>
        <v/>
      </c>
      <c r="N548" s="167">
        <f>M548*L548</f>
        <v/>
      </c>
      <c r="O548" s="167">
        <f>M548+N548</f>
        <v/>
      </c>
      <c r="P548" s="164" t="n"/>
    </row>
    <row r="549">
      <c r="A549" s="173" t="n"/>
      <c r="B549" s="164" t="n"/>
      <c r="C549" s="164" t="n"/>
      <c r="D549" s="164" t="n"/>
      <c r="E549" s="164" t="n"/>
      <c r="F549" s="164" t="n"/>
      <c r="G549" s="164" t="n"/>
      <c r="H549" s="164" t="n"/>
      <c r="I549" s="166" t="n"/>
      <c r="J549" s="166" t="n"/>
      <c r="K549" s="166" t="n"/>
      <c r="L549" s="168" t="n"/>
      <c r="M549" s="167">
        <f>H549*I549+J549+K549</f>
        <v/>
      </c>
      <c r="N549" s="167">
        <f>M549*L549</f>
        <v/>
      </c>
      <c r="O549" s="167">
        <f>M549+N549</f>
        <v/>
      </c>
      <c r="P549" s="164" t="n"/>
    </row>
    <row r="550">
      <c r="A550" s="173" t="n"/>
      <c r="B550" s="164" t="n"/>
      <c r="C550" s="164" t="n"/>
      <c r="D550" s="164" t="n"/>
      <c r="E550" s="164" t="n"/>
      <c r="F550" s="164" t="n"/>
      <c r="G550" s="164" t="n"/>
      <c r="H550" s="164" t="n"/>
      <c r="I550" s="166" t="n"/>
      <c r="J550" s="166" t="n"/>
      <c r="K550" s="166" t="n"/>
      <c r="L550" s="168" t="n"/>
      <c r="M550" s="167">
        <f>H550*I550+J550+K550</f>
        <v/>
      </c>
      <c r="N550" s="167">
        <f>M550*L550</f>
        <v/>
      </c>
      <c r="O550" s="167">
        <f>M550+N550</f>
        <v/>
      </c>
      <c r="P550" s="164" t="n"/>
    </row>
    <row r="551">
      <c r="A551" s="173" t="n"/>
      <c r="B551" s="164" t="n"/>
      <c r="C551" s="164" t="n"/>
      <c r="D551" s="164" t="n"/>
      <c r="E551" s="164" t="n"/>
      <c r="F551" s="164" t="n"/>
      <c r="G551" s="164" t="n"/>
      <c r="H551" s="164" t="n"/>
      <c r="I551" s="166" t="n"/>
      <c r="J551" s="166" t="n"/>
      <c r="K551" s="166" t="n"/>
      <c r="L551" s="168" t="n"/>
      <c r="M551" s="167">
        <f>H551*I551+J551+K551</f>
        <v/>
      </c>
      <c r="N551" s="167">
        <f>M551*L551</f>
        <v/>
      </c>
      <c r="O551" s="167">
        <f>M551+N551</f>
        <v/>
      </c>
      <c r="P551" s="164" t="n"/>
    </row>
    <row r="552">
      <c r="A552" s="173" t="n"/>
      <c r="B552" s="164" t="n"/>
      <c r="C552" s="164" t="n"/>
      <c r="D552" s="164" t="n"/>
      <c r="E552" s="164" t="n"/>
      <c r="F552" s="164" t="n"/>
      <c r="G552" s="164" t="n"/>
      <c r="H552" s="164" t="n"/>
      <c r="I552" s="166" t="n"/>
      <c r="J552" s="166" t="n"/>
      <c r="K552" s="166" t="n"/>
      <c r="L552" s="168" t="n"/>
      <c r="M552" s="167">
        <f>H552*I552+J552+K552</f>
        <v/>
      </c>
      <c r="N552" s="167">
        <f>M552*L552</f>
        <v/>
      </c>
      <c r="O552" s="167">
        <f>M552+N552</f>
        <v/>
      </c>
      <c r="P552" s="164" t="n"/>
    </row>
    <row r="553">
      <c r="A553" s="173" t="n"/>
      <c r="B553" s="164" t="n"/>
      <c r="C553" s="164" t="n"/>
      <c r="D553" s="164" t="n"/>
      <c r="E553" s="164" t="n"/>
      <c r="F553" s="164" t="n"/>
      <c r="G553" s="164" t="n"/>
      <c r="H553" s="164" t="n"/>
      <c r="I553" s="166" t="n"/>
      <c r="J553" s="166" t="n"/>
      <c r="K553" s="166" t="n"/>
      <c r="L553" s="168" t="n"/>
      <c r="M553" s="167">
        <f>H553*I553+J553+K553</f>
        <v/>
      </c>
      <c r="N553" s="167">
        <f>M553*L553</f>
        <v/>
      </c>
      <c r="O553" s="167">
        <f>M553+N553</f>
        <v/>
      </c>
      <c r="P553" s="164" t="n"/>
    </row>
    <row r="554">
      <c r="A554" s="173" t="n"/>
      <c r="B554" s="164" t="n"/>
      <c r="C554" s="164" t="n"/>
      <c r="D554" s="164" t="n"/>
      <c r="E554" s="164" t="n"/>
      <c r="F554" s="164" t="n"/>
      <c r="G554" s="164" t="n"/>
      <c r="H554" s="164" t="n"/>
      <c r="I554" s="166" t="n"/>
      <c r="J554" s="166" t="n"/>
      <c r="K554" s="166" t="n"/>
      <c r="L554" s="168" t="n"/>
      <c r="M554" s="167">
        <f>H554*I554+J554+K554</f>
        <v/>
      </c>
      <c r="N554" s="167">
        <f>M554*L554</f>
        <v/>
      </c>
      <c r="O554" s="167">
        <f>M554+N554</f>
        <v/>
      </c>
      <c r="P554" s="164" t="n"/>
    </row>
    <row r="555">
      <c r="A555" s="173" t="n"/>
      <c r="B555" s="164" t="n"/>
      <c r="C555" s="164" t="n"/>
      <c r="D555" s="164" t="n"/>
      <c r="E555" s="164" t="n"/>
      <c r="F555" s="164" t="n"/>
      <c r="G555" s="164" t="n"/>
      <c r="H555" s="164" t="n"/>
      <c r="I555" s="166" t="n"/>
      <c r="J555" s="166" t="n"/>
      <c r="K555" s="166" t="n"/>
      <c r="L555" s="168" t="n"/>
      <c r="M555" s="167">
        <f>H555*I555+J555+K555</f>
        <v/>
      </c>
      <c r="N555" s="167">
        <f>M555*L555</f>
        <v/>
      </c>
      <c r="O555" s="167">
        <f>M555+N555</f>
        <v/>
      </c>
      <c r="P555" s="164" t="n"/>
    </row>
    <row r="556">
      <c r="A556" s="173" t="n"/>
      <c r="B556" s="164" t="n"/>
      <c r="C556" s="164" t="n"/>
      <c r="D556" s="164" t="n"/>
      <c r="E556" s="164" t="n"/>
      <c r="F556" s="164" t="n"/>
      <c r="G556" s="164" t="n"/>
      <c r="H556" s="164" t="n"/>
      <c r="I556" s="166" t="n"/>
      <c r="J556" s="166" t="n"/>
      <c r="K556" s="166" t="n"/>
      <c r="L556" s="168" t="n"/>
      <c r="M556" s="167">
        <f>H556*I556+J556+K556</f>
        <v/>
      </c>
      <c r="N556" s="167">
        <f>M556*L556</f>
        <v/>
      </c>
      <c r="O556" s="167">
        <f>M556+N556</f>
        <v/>
      </c>
      <c r="P556" s="164" t="n"/>
    </row>
    <row r="557">
      <c r="A557" s="173" t="n"/>
      <c r="B557" s="164" t="n"/>
      <c r="C557" s="164" t="n"/>
      <c r="D557" s="164" t="n"/>
      <c r="E557" s="164" t="n"/>
      <c r="F557" s="164" t="n"/>
      <c r="G557" s="164" t="n"/>
      <c r="H557" s="164" t="n"/>
      <c r="I557" s="166" t="n"/>
      <c r="J557" s="166" t="n"/>
      <c r="K557" s="166" t="n"/>
      <c r="L557" s="168" t="n"/>
      <c r="M557" s="167">
        <f>H557*I557+J557+K557</f>
        <v/>
      </c>
      <c r="N557" s="167">
        <f>M557*L557</f>
        <v/>
      </c>
      <c r="O557" s="167">
        <f>M557+N557</f>
        <v/>
      </c>
      <c r="P557" s="164" t="n"/>
    </row>
    <row r="558">
      <c r="A558" s="173" t="n"/>
      <c r="B558" s="164" t="n"/>
      <c r="C558" s="164" t="n"/>
      <c r="D558" s="164" t="n"/>
      <c r="E558" s="164" t="n"/>
      <c r="F558" s="164" t="n"/>
      <c r="G558" s="164" t="n"/>
      <c r="H558" s="164" t="n"/>
      <c r="I558" s="166" t="n"/>
      <c r="J558" s="166" t="n"/>
      <c r="K558" s="166" t="n"/>
      <c r="L558" s="168" t="n"/>
      <c r="M558" s="167">
        <f>H558*I558+J558+K558</f>
        <v/>
      </c>
      <c r="N558" s="167">
        <f>M558*L558</f>
        <v/>
      </c>
      <c r="O558" s="167">
        <f>M558+N558</f>
        <v/>
      </c>
      <c r="P558" s="164" t="n"/>
    </row>
    <row r="559">
      <c r="A559" s="173" t="n"/>
      <c r="B559" s="164" t="n"/>
      <c r="C559" s="164" t="n"/>
      <c r="D559" s="164" t="n"/>
      <c r="E559" s="164" t="n"/>
      <c r="F559" s="164" t="n"/>
      <c r="G559" s="164" t="n"/>
      <c r="H559" s="164" t="n"/>
      <c r="I559" s="166" t="n"/>
      <c r="J559" s="166" t="n"/>
      <c r="K559" s="166" t="n"/>
      <c r="L559" s="168" t="n"/>
      <c r="M559" s="167">
        <f>H559*I559+J559+K559</f>
        <v/>
      </c>
      <c r="N559" s="167">
        <f>M559*L559</f>
        <v/>
      </c>
      <c r="O559" s="167">
        <f>M559+N559</f>
        <v/>
      </c>
      <c r="P559" s="164" t="n"/>
    </row>
    <row r="560">
      <c r="A560" s="173" t="n"/>
      <c r="B560" s="164" t="n"/>
      <c r="C560" s="164" t="n"/>
      <c r="D560" s="164" t="n"/>
      <c r="E560" s="164" t="n"/>
      <c r="F560" s="164" t="n"/>
      <c r="G560" s="164" t="n"/>
      <c r="H560" s="164" t="n"/>
      <c r="I560" s="166" t="n"/>
      <c r="J560" s="166" t="n"/>
      <c r="K560" s="166" t="n"/>
      <c r="L560" s="168" t="n"/>
      <c r="M560" s="167">
        <f>H560*I560+J560+K560</f>
        <v/>
      </c>
      <c r="N560" s="167">
        <f>M560*L560</f>
        <v/>
      </c>
      <c r="O560" s="167">
        <f>M560+N560</f>
        <v/>
      </c>
      <c r="P560" s="164" t="n"/>
    </row>
    <row r="561">
      <c r="A561" s="173" t="n"/>
      <c r="B561" s="164" t="n"/>
      <c r="C561" s="164" t="n"/>
      <c r="D561" s="164" t="n"/>
      <c r="E561" s="164" t="n"/>
      <c r="F561" s="164" t="n"/>
      <c r="G561" s="164" t="n"/>
      <c r="H561" s="164" t="n"/>
      <c r="I561" s="166" t="n"/>
      <c r="J561" s="166" t="n"/>
      <c r="K561" s="166" t="n"/>
      <c r="L561" s="168" t="n"/>
      <c r="M561" s="167">
        <f>H561*I561+J561+K561</f>
        <v/>
      </c>
      <c r="N561" s="167">
        <f>M561*L561</f>
        <v/>
      </c>
      <c r="O561" s="167">
        <f>M561+N561</f>
        <v/>
      </c>
      <c r="P561" s="164" t="n"/>
    </row>
    <row r="562">
      <c r="A562" s="173" t="n"/>
      <c r="B562" s="164" t="n"/>
      <c r="C562" s="164" t="n"/>
      <c r="D562" s="164" t="n"/>
      <c r="E562" s="164" t="n"/>
      <c r="F562" s="164" t="n"/>
      <c r="G562" s="164" t="n"/>
      <c r="H562" s="164" t="n"/>
      <c r="I562" s="166" t="n"/>
      <c r="J562" s="166" t="n"/>
      <c r="K562" s="166" t="n"/>
      <c r="L562" s="168" t="n"/>
      <c r="M562" s="167">
        <f>H562*I562+J562+K562</f>
        <v/>
      </c>
      <c r="N562" s="167">
        <f>M562*L562</f>
        <v/>
      </c>
      <c r="O562" s="167">
        <f>M562+N562</f>
        <v/>
      </c>
      <c r="P562" s="164" t="n"/>
    </row>
    <row r="563">
      <c r="A563" s="173" t="n"/>
      <c r="B563" s="164" t="n"/>
      <c r="C563" s="164" t="n"/>
      <c r="D563" s="164" t="n"/>
      <c r="E563" s="164" t="n"/>
      <c r="F563" s="164" t="n"/>
      <c r="G563" s="164" t="n"/>
      <c r="H563" s="164" t="n"/>
      <c r="I563" s="166" t="n"/>
      <c r="J563" s="166" t="n"/>
      <c r="K563" s="166" t="n"/>
      <c r="L563" s="168" t="n"/>
      <c r="M563" s="167">
        <f>H563*I563+J563+K563</f>
        <v/>
      </c>
      <c r="N563" s="167">
        <f>M563*L563</f>
        <v/>
      </c>
      <c r="O563" s="167">
        <f>M563+N563</f>
        <v/>
      </c>
      <c r="P563" s="164" t="n"/>
    </row>
    <row r="564">
      <c r="A564" s="173" t="n"/>
      <c r="B564" s="164" t="n"/>
      <c r="C564" s="164" t="n"/>
      <c r="D564" s="164" t="n"/>
      <c r="E564" s="164" t="n"/>
      <c r="F564" s="164" t="n"/>
      <c r="G564" s="164" t="n"/>
      <c r="H564" s="164" t="n"/>
      <c r="I564" s="166" t="n"/>
      <c r="J564" s="166" t="n"/>
      <c r="K564" s="166" t="n"/>
      <c r="L564" s="168" t="n"/>
      <c r="M564" s="167">
        <f>H564*I564+J564+K564</f>
        <v/>
      </c>
      <c r="N564" s="167">
        <f>M564*L564</f>
        <v/>
      </c>
      <c r="O564" s="167">
        <f>M564+N564</f>
        <v/>
      </c>
      <c r="P564" s="164" t="n"/>
    </row>
    <row r="565">
      <c r="A565" s="173" t="n"/>
      <c r="B565" s="164" t="n"/>
      <c r="C565" s="164" t="n"/>
      <c r="D565" s="164" t="n"/>
      <c r="E565" s="164" t="n"/>
      <c r="F565" s="164" t="n"/>
      <c r="G565" s="164" t="n"/>
      <c r="H565" s="164" t="n"/>
      <c r="I565" s="166" t="n"/>
      <c r="J565" s="166" t="n"/>
      <c r="K565" s="166" t="n"/>
      <c r="L565" s="168" t="n"/>
      <c r="M565" s="167">
        <f>H565*I565+J565+K565</f>
        <v/>
      </c>
      <c r="N565" s="167">
        <f>M565*L565</f>
        <v/>
      </c>
      <c r="O565" s="167">
        <f>M565+N565</f>
        <v/>
      </c>
      <c r="P565" s="164" t="n"/>
    </row>
    <row r="566">
      <c r="A566" s="173" t="n"/>
      <c r="B566" s="164" t="n"/>
      <c r="C566" s="164" t="n"/>
      <c r="D566" s="164" t="n"/>
      <c r="E566" s="164" t="n"/>
      <c r="F566" s="164" t="n"/>
      <c r="G566" s="164" t="n"/>
      <c r="H566" s="164" t="n"/>
      <c r="I566" s="166" t="n"/>
      <c r="J566" s="166" t="n"/>
      <c r="K566" s="166" t="n"/>
      <c r="L566" s="168" t="n"/>
      <c r="M566" s="167">
        <f>H566*I566+J566+K566</f>
        <v/>
      </c>
      <c r="N566" s="167">
        <f>M566*L566</f>
        <v/>
      </c>
      <c r="O566" s="167">
        <f>M566+N566</f>
        <v/>
      </c>
      <c r="P566" s="164" t="n"/>
    </row>
    <row r="567">
      <c r="A567" s="173" t="n"/>
      <c r="B567" s="164" t="n"/>
      <c r="C567" s="164" t="n"/>
      <c r="D567" s="164" t="n"/>
      <c r="E567" s="164" t="n"/>
      <c r="F567" s="164" t="n"/>
      <c r="G567" s="164" t="n"/>
      <c r="H567" s="164" t="n"/>
      <c r="I567" s="166" t="n"/>
      <c r="J567" s="166" t="n"/>
      <c r="K567" s="166" t="n"/>
      <c r="L567" s="168" t="n"/>
      <c r="M567" s="167">
        <f>H567*I567+J567+K567</f>
        <v/>
      </c>
      <c r="N567" s="167">
        <f>M567*L567</f>
        <v/>
      </c>
      <c r="O567" s="167">
        <f>M567+N567</f>
        <v/>
      </c>
      <c r="P567" s="164" t="n"/>
    </row>
    <row r="568">
      <c r="A568" s="173" t="n"/>
      <c r="B568" s="164" t="n"/>
      <c r="C568" s="164" t="n"/>
      <c r="D568" s="164" t="n"/>
      <c r="E568" s="164" t="n"/>
      <c r="F568" s="164" t="n"/>
      <c r="G568" s="164" t="n"/>
      <c r="H568" s="164" t="n"/>
      <c r="I568" s="166" t="n"/>
      <c r="J568" s="166" t="n"/>
      <c r="K568" s="166" t="n"/>
      <c r="L568" s="168" t="n"/>
      <c r="M568" s="167">
        <f>H568*I568+J568+K568</f>
        <v/>
      </c>
      <c r="N568" s="167">
        <f>M568*L568</f>
        <v/>
      </c>
      <c r="O568" s="167">
        <f>M568+N568</f>
        <v/>
      </c>
      <c r="P568" s="164" t="n"/>
    </row>
    <row r="569">
      <c r="A569" s="173" t="n"/>
      <c r="B569" s="164" t="n"/>
      <c r="C569" s="164" t="n"/>
      <c r="D569" s="164" t="n"/>
      <c r="E569" s="164" t="n"/>
      <c r="F569" s="164" t="n"/>
      <c r="G569" s="164" t="n"/>
      <c r="H569" s="164" t="n"/>
      <c r="I569" s="166" t="n"/>
      <c r="J569" s="166" t="n"/>
      <c r="K569" s="166" t="n"/>
      <c r="L569" s="168" t="n"/>
      <c r="M569" s="167">
        <f>H569*I569+J569+K569</f>
        <v/>
      </c>
      <c r="N569" s="167">
        <f>M569*L569</f>
        <v/>
      </c>
      <c r="O569" s="167">
        <f>M569+N569</f>
        <v/>
      </c>
      <c r="P569" s="164" t="n"/>
    </row>
    <row r="570">
      <c r="A570" s="173" t="n"/>
      <c r="B570" s="164" t="n"/>
      <c r="C570" s="164" t="n"/>
      <c r="D570" s="164" t="n"/>
      <c r="E570" s="164" t="n"/>
      <c r="F570" s="164" t="n"/>
      <c r="G570" s="164" t="n"/>
      <c r="H570" s="164" t="n"/>
      <c r="I570" s="166" t="n"/>
      <c r="J570" s="166" t="n"/>
      <c r="K570" s="166" t="n"/>
      <c r="L570" s="168" t="n"/>
      <c r="M570" s="167">
        <f>H570*I570+J570+K570</f>
        <v/>
      </c>
      <c r="N570" s="167">
        <f>M570*L570</f>
        <v/>
      </c>
      <c r="O570" s="167">
        <f>M570+N570</f>
        <v/>
      </c>
      <c r="P570" s="164" t="n"/>
    </row>
    <row r="571">
      <c r="A571" s="173" t="n"/>
      <c r="B571" s="164" t="n"/>
      <c r="C571" s="164" t="n"/>
      <c r="D571" s="164" t="n"/>
      <c r="E571" s="164" t="n"/>
      <c r="F571" s="164" t="n"/>
      <c r="G571" s="164" t="n"/>
      <c r="H571" s="164" t="n"/>
      <c r="I571" s="166" t="n"/>
      <c r="J571" s="166" t="n"/>
      <c r="K571" s="166" t="n"/>
      <c r="L571" s="168" t="n"/>
      <c r="M571" s="167">
        <f>H571*I571+J571+K571</f>
        <v/>
      </c>
      <c r="N571" s="167">
        <f>M571*L571</f>
        <v/>
      </c>
      <c r="O571" s="167">
        <f>M571+N571</f>
        <v/>
      </c>
      <c r="P571" s="164" t="n"/>
    </row>
    <row r="572">
      <c r="A572" s="173" t="n"/>
      <c r="B572" s="164" t="n"/>
      <c r="C572" s="164" t="n"/>
      <c r="D572" s="164" t="n"/>
      <c r="E572" s="164" t="n"/>
      <c r="F572" s="164" t="n"/>
      <c r="G572" s="164" t="n"/>
      <c r="H572" s="164" t="n"/>
      <c r="I572" s="166" t="n"/>
      <c r="J572" s="166" t="n"/>
      <c r="K572" s="166" t="n"/>
      <c r="L572" s="168" t="n"/>
      <c r="M572" s="167">
        <f>H572*I572+J572+K572</f>
        <v/>
      </c>
      <c r="N572" s="167">
        <f>M572*L572</f>
        <v/>
      </c>
      <c r="O572" s="167">
        <f>M572+N572</f>
        <v/>
      </c>
      <c r="P572" s="164" t="n"/>
    </row>
    <row r="573">
      <c r="A573" s="173" t="n"/>
      <c r="B573" s="164" t="n"/>
      <c r="C573" s="164" t="n"/>
      <c r="D573" s="164" t="n"/>
      <c r="E573" s="164" t="n"/>
      <c r="F573" s="164" t="n"/>
      <c r="G573" s="164" t="n"/>
      <c r="H573" s="164" t="n"/>
      <c r="I573" s="166" t="n"/>
      <c r="J573" s="166" t="n"/>
      <c r="K573" s="166" t="n"/>
      <c r="L573" s="168" t="n"/>
      <c r="M573" s="167">
        <f>H573*I573+J573+K573</f>
        <v/>
      </c>
      <c r="N573" s="167">
        <f>M573*L573</f>
        <v/>
      </c>
      <c r="O573" s="167">
        <f>M573+N573</f>
        <v/>
      </c>
      <c r="P573" s="164" t="n"/>
    </row>
    <row r="574">
      <c r="A574" s="173" t="n"/>
      <c r="B574" s="164" t="n"/>
      <c r="C574" s="164" t="n"/>
      <c r="D574" s="164" t="n"/>
      <c r="E574" s="164" t="n"/>
      <c r="F574" s="164" t="n"/>
      <c r="G574" s="164" t="n"/>
      <c r="H574" s="164" t="n"/>
      <c r="I574" s="166" t="n"/>
      <c r="J574" s="166" t="n"/>
      <c r="K574" s="166" t="n"/>
      <c r="L574" s="168" t="n"/>
      <c r="M574" s="167">
        <f>H574*I574+J574+K574</f>
        <v/>
      </c>
      <c r="N574" s="167">
        <f>M574*L574</f>
        <v/>
      </c>
      <c r="O574" s="167">
        <f>M574+N574</f>
        <v/>
      </c>
      <c r="P574" s="164" t="n"/>
    </row>
    <row r="575">
      <c r="A575" s="173" t="n"/>
      <c r="B575" s="164" t="n"/>
      <c r="C575" s="164" t="n"/>
      <c r="D575" s="164" t="n"/>
      <c r="E575" s="164" t="n"/>
      <c r="F575" s="164" t="n"/>
      <c r="G575" s="164" t="n"/>
      <c r="H575" s="164" t="n"/>
      <c r="I575" s="166" t="n"/>
      <c r="J575" s="166" t="n"/>
      <c r="K575" s="166" t="n"/>
      <c r="L575" s="168" t="n"/>
      <c r="M575" s="167">
        <f>H575*I575+J575+K575</f>
        <v/>
      </c>
      <c r="N575" s="167">
        <f>M575*L575</f>
        <v/>
      </c>
      <c r="O575" s="167">
        <f>M575+N575</f>
        <v/>
      </c>
      <c r="P575" s="164" t="n"/>
    </row>
    <row r="576">
      <c r="A576" s="173" t="n"/>
      <c r="B576" s="164" t="n"/>
      <c r="C576" s="164" t="n"/>
      <c r="D576" s="164" t="n"/>
      <c r="E576" s="164" t="n"/>
      <c r="F576" s="164" t="n"/>
      <c r="G576" s="164" t="n"/>
      <c r="H576" s="164" t="n"/>
      <c r="I576" s="166" t="n"/>
      <c r="J576" s="166" t="n"/>
      <c r="K576" s="166" t="n"/>
      <c r="L576" s="168" t="n"/>
      <c r="M576" s="167">
        <f>H576*I576+J576+K576</f>
        <v/>
      </c>
      <c r="N576" s="167">
        <f>M576*L576</f>
        <v/>
      </c>
      <c r="O576" s="167">
        <f>M576+N576</f>
        <v/>
      </c>
      <c r="P576" s="164" t="n"/>
    </row>
    <row r="577">
      <c r="A577" s="173" t="n"/>
      <c r="B577" s="164" t="n"/>
      <c r="C577" s="164" t="n"/>
      <c r="D577" s="164" t="n"/>
      <c r="E577" s="164" t="n"/>
      <c r="F577" s="164" t="n"/>
      <c r="G577" s="164" t="n"/>
      <c r="H577" s="164" t="n"/>
      <c r="I577" s="166" t="n"/>
      <c r="J577" s="166" t="n"/>
      <c r="K577" s="166" t="n"/>
      <c r="L577" s="168" t="n"/>
      <c r="M577" s="167">
        <f>H577*I577+J577+K577</f>
        <v/>
      </c>
      <c r="N577" s="167">
        <f>M577*L577</f>
        <v/>
      </c>
      <c r="O577" s="167">
        <f>M577+N577</f>
        <v/>
      </c>
      <c r="P577" s="164" t="n"/>
    </row>
    <row r="578">
      <c r="A578" s="173" t="n"/>
      <c r="B578" s="164" t="n"/>
      <c r="C578" s="164" t="n"/>
      <c r="D578" s="164" t="n"/>
      <c r="E578" s="164" t="n"/>
      <c r="F578" s="164" t="n"/>
      <c r="G578" s="164" t="n"/>
      <c r="H578" s="164" t="n"/>
      <c r="I578" s="166" t="n"/>
      <c r="J578" s="166" t="n"/>
      <c r="K578" s="166" t="n"/>
      <c r="L578" s="168" t="n"/>
      <c r="M578" s="167">
        <f>H578*I578+J578+K578</f>
        <v/>
      </c>
      <c r="N578" s="167">
        <f>M578*L578</f>
        <v/>
      </c>
      <c r="O578" s="167">
        <f>M578+N578</f>
        <v/>
      </c>
      <c r="P578" s="164" t="n"/>
    </row>
    <row r="579">
      <c r="A579" s="173" t="n"/>
      <c r="B579" s="164" t="n"/>
      <c r="C579" s="164" t="n"/>
      <c r="D579" s="164" t="n"/>
      <c r="E579" s="164" t="n"/>
      <c r="F579" s="164" t="n"/>
      <c r="G579" s="164" t="n"/>
      <c r="H579" s="164" t="n"/>
      <c r="I579" s="166" t="n"/>
      <c r="J579" s="166" t="n"/>
      <c r="K579" s="166" t="n"/>
      <c r="L579" s="168" t="n"/>
      <c r="M579" s="167">
        <f>H579*I579+J579+K579</f>
        <v/>
      </c>
      <c r="N579" s="167">
        <f>M579*L579</f>
        <v/>
      </c>
      <c r="O579" s="167">
        <f>M579+N579</f>
        <v/>
      </c>
      <c r="P579" s="164" t="n"/>
    </row>
    <row r="580">
      <c r="A580" s="173" t="n"/>
      <c r="B580" s="164" t="n"/>
      <c r="C580" s="164" t="n"/>
      <c r="D580" s="164" t="n"/>
      <c r="E580" s="164" t="n"/>
      <c r="F580" s="164" t="n"/>
      <c r="G580" s="164" t="n"/>
      <c r="H580" s="164" t="n"/>
      <c r="I580" s="166" t="n"/>
      <c r="J580" s="166" t="n"/>
      <c r="K580" s="166" t="n"/>
      <c r="L580" s="168" t="n"/>
      <c r="M580" s="167">
        <f>H580*I580+J580+K580</f>
        <v/>
      </c>
      <c r="N580" s="167">
        <f>M580*L580</f>
        <v/>
      </c>
      <c r="O580" s="167">
        <f>M580+N580</f>
        <v/>
      </c>
      <c r="P580" s="164" t="n"/>
    </row>
    <row r="581">
      <c r="A581" s="173" t="n"/>
      <c r="B581" s="164" t="n"/>
      <c r="C581" s="164" t="n"/>
      <c r="D581" s="164" t="n"/>
      <c r="E581" s="164" t="n"/>
      <c r="F581" s="164" t="n"/>
      <c r="G581" s="164" t="n"/>
      <c r="H581" s="164" t="n"/>
      <c r="I581" s="166" t="n"/>
      <c r="J581" s="166" t="n"/>
      <c r="K581" s="166" t="n"/>
      <c r="L581" s="168" t="n"/>
      <c r="M581" s="167">
        <f>H581*I581+J581+K581</f>
        <v/>
      </c>
      <c r="N581" s="167">
        <f>M581*L581</f>
        <v/>
      </c>
      <c r="O581" s="167">
        <f>M581+N581</f>
        <v/>
      </c>
      <c r="P581" s="164" t="n"/>
    </row>
    <row r="582">
      <c r="A582" s="173" t="n"/>
      <c r="B582" s="164" t="n"/>
      <c r="C582" s="164" t="n"/>
      <c r="D582" s="164" t="n"/>
      <c r="E582" s="164" t="n"/>
      <c r="F582" s="164" t="n"/>
      <c r="G582" s="164" t="n"/>
      <c r="H582" s="164" t="n"/>
      <c r="I582" s="166" t="n"/>
      <c r="J582" s="166" t="n"/>
      <c r="K582" s="166" t="n"/>
      <c r="L582" s="168" t="n"/>
      <c r="M582" s="167">
        <f>H582*I582+J582+K582</f>
        <v/>
      </c>
      <c r="N582" s="167">
        <f>M582*L582</f>
        <v/>
      </c>
      <c r="O582" s="167">
        <f>M582+N582</f>
        <v/>
      </c>
      <c r="P582" s="164" t="n"/>
    </row>
    <row r="583">
      <c r="A583" s="173" t="n"/>
      <c r="B583" s="164" t="n"/>
      <c r="C583" s="164" t="n"/>
      <c r="D583" s="164" t="n"/>
      <c r="E583" s="164" t="n"/>
      <c r="F583" s="164" t="n"/>
      <c r="G583" s="164" t="n"/>
      <c r="H583" s="164" t="n"/>
      <c r="I583" s="166" t="n"/>
      <c r="J583" s="166" t="n"/>
      <c r="K583" s="166" t="n"/>
      <c r="L583" s="168" t="n"/>
      <c r="M583" s="167">
        <f>H583*I583+J583+K583</f>
        <v/>
      </c>
      <c r="N583" s="167">
        <f>M583*L583</f>
        <v/>
      </c>
      <c r="O583" s="167">
        <f>M583+N583</f>
        <v/>
      </c>
      <c r="P583" s="164" t="n"/>
    </row>
    <row r="584">
      <c r="A584" s="173" t="n"/>
      <c r="B584" s="164" t="n"/>
      <c r="C584" s="164" t="n"/>
      <c r="D584" s="164" t="n"/>
      <c r="E584" s="164" t="n"/>
      <c r="F584" s="164" t="n"/>
      <c r="G584" s="164" t="n"/>
      <c r="H584" s="164" t="n"/>
      <c r="I584" s="166" t="n"/>
      <c r="J584" s="166" t="n"/>
      <c r="K584" s="166" t="n"/>
      <c r="L584" s="168" t="n"/>
      <c r="M584" s="167">
        <f>H584*I584+J584+K584</f>
        <v/>
      </c>
      <c r="N584" s="167">
        <f>M584*L584</f>
        <v/>
      </c>
      <c r="O584" s="167">
        <f>M584+N584</f>
        <v/>
      </c>
      <c r="P584" s="164" t="n"/>
    </row>
    <row r="585">
      <c r="A585" s="173" t="n"/>
      <c r="B585" s="164" t="n"/>
      <c r="C585" s="164" t="n"/>
      <c r="D585" s="164" t="n"/>
      <c r="E585" s="164" t="n"/>
      <c r="F585" s="164" t="n"/>
      <c r="G585" s="164" t="n"/>
      <c r="H585" s="164" t="n"/>
      <c r="I585" s="166" t="n"/>
      <c r="J585" s="166" t="n"/>
      <c r="K585" s="166" t="n"/>
      <c r="L585" s="168" t="n"/>
      <c r="M585" s="167">
        <f>H585*I585+J585+K585</f>
        <v/>
      </c>
      <c r="N585" s="167">
        <f>M585*L585</f>
        <v/>
      </c>
      <c r="O585" s="167">
        <f>M585+N585</f>
        <v/>
      </c>
      <c r="P585" s="164" t="n"/>
    </row>
    <row r="586">
      <c r="A586" s="173" t="n"/>
      <c r="B586" s="164" t="n"/>
      <c r="C586" s="164" t="n"/>
      <c r="D586" s="164" t="n"/>
      <c r="E586" s="164" t="n"/>
      <c r="F586" s="164" t="n"/>
      <c r="G586" s="164" t="n"/>
      <c r="H586" s="164" t="n"/>
      <c r="I586" s="166" t="n"/>
      <c r="J586" s="166" t="n"/>
      <c r="K586" s="166" t="n"/>
      <c r="L586" s="168" t="n"/>
      <c r="M586" s="167">
        <f>H586*I586+J586+K586</f>
        <v/>
      </c>
      <c r="N586" s="167">
        <f>M586*L586</f>
        <v/>
      </c>
      <c r="O586" s="167">
        <f>M586+N586</f>
        <v/>
      </c>
      <c r="P586" s="164" t="n"/>
    </row>
    <row r="587">
      <c r="A587" s="173" t="n"/>
      <c r="B587" s="164" t="n"/>
      <c r="C587" s="164" t="n"/>
      <c r="D587" s="164" t="n"/>
      <c r="E587" s="164" t="n"/>
      <c r="F587" s="164" t="n"/>
      <c r="G587" s="164" t="n"/>
      <c r="H587" s="164" t="n"/>
      <c r="I587" s="166" t="n"/>
      <c r="J587" s="166" t="n"/>
      <c r="K587" s="166" t="n"/>
      <c r="L587" s="168" t="n"/>
      <c r="M587" s="167">
        <f>H587*I587+J587+K587</f>
        <v/>
      </c>
      <c r="N587" s="167">
        <f>M587*L587</f>
        <v/>
      </c>
      <c r="O587" s="167">
        <f>M587+N587</f>
        <v/>
      </c>
      <c r="P587" s="164" t="n"/>
    </row>
    <row r="588">
      <c r="A588" s="173" t="n"/>
      <c r="B588" s="164" t="n"/>
      <c r="C588" s="164" t="n"/>
      <c r="D588" s="164" t="n"/>
      <c r="E588" s="164" t="n"/>
      <c r="F588" s="164" t="n"/>
      <c r="G588" s="164" t="n"/>
      <c r="H588" s="164" t="n"/>
      <c r="I588" s="166" t="n"/>
      <c r="J588" s="166" t="n"/>
      <c r="K588" s="166" t="n"/>
      <c r="L588" s="168" t="n"/>
      <c r="M588" s="167">
        <f>H588*I588+J588+K588</f>
        <v/>
      </c>
      <c r="N588" s="167">
        <f>M588*L588</f>
        <v/>
      </c>
      <c r="O588" s="167">
        <f>M588+N588</f>
        <v/>
      </c>
      <c r="P588" s="164" t="n"/>
    </row>
    <row r="589">
      <c r="A589" s="173" t="n"/>
      <c r="B589" s="164" t="n"/>
      <c r="C589" s="164" t="n"/>
      <c r="D589" s="164" t="n"/>
      <c r="E589" s="164" t="n"/>
      <c r="F589" s="164" t="n"/>
      <c r="G589" s="164" t="n"/>
      <c r="H589" s="164" t="n"/>
      <c r="I589" s="166" t="n"/>
      <c r="J589" s="166" t="n"/>
      <c r="K589" s="166" t="n"/>
      <c r="L589" s="168" t="n"/>
      <c r="M589" s="167">
        <f>H589*I589+J589+K589</f>
        <v/>
      </c>
      <c r="N589" s="167">
        <f>M589*L589</f>
        <v/>
      </c>
      <c r="O589" s="167">
        <f>M589+N589</f>
        <v/>
      </c>
      <c r="P589" s="164" t="n"/>
    </row>
    <row r="590">
      <c r="A590" s="173" t="n"/>
      <c r="B590" s="164" t="n"/>
      <c r="C590" s="164" t="n"/>
      <c r="D590" s="164" t="n"/>
      <c r="E590" s="164" t="n"/>
      <c r="F590" s="164" t="n"/>
      <c r="G590" s="164" t="n"/>
      <c r="H590" s="164" t="n"/>
      <c r="I590" s="166" t="n"/>
      <c r="J590" s="166" t="n"/>
      <c r="K590" s="166" t="n"/>
      <c r="L590" s="168" t="n"/>
      <c r="M590" s="167">
        <f>H590*I590+J590+K590</f>
        <v/>
      </c>
      <c r="N590" s="167">
        <f>M590*L590</f>
        <v/>
      </c>
      <c r="O590" s="167">
        <f>M590+N590</f>
        <v/>
      </c>
      <c r="P590" s="164" t="n"/>
    </row>
    <row r="591">
      <c r="A591" s="173" t="n"/>
      <c r="B591" s="164" t="n"/>
      <c r="C591" s="164" t="n"/>
      <c r="D591" s="164" t="n"/>
      <c r="E591" s="164" t="n"/>
      <c r="F591" s="164" t="n"/>
      <c r="G591" s="164" t="n"/>
      <c r="H591" s="164" t="n"/>
      <c r="I591" s="166" t="n"/>
      <c r="J591" s="166" t="n"/>
      <c r="K591" s="166" t="n"/>
      <c r="L591" s="168" t="n"/>
      <c r="M591" s="167">
        <f>H591*I591+J591+K591</f>
        <v/>
      </c>
      <c r="N591" s="167">
        <f>M591*L591</f>
        <v/>
      </c>
      <c r="O591" s="167">
        <f>M591+N591</f>
        <v/>
      </c>
      <c r="P591" s="164" t="n"/>
    </row>
    <row r="592">
      <c r="A592" s="173" t="n"/>
      <c r="B592" s="164" t="n"/>
      <c r="C592" s="164" t="n"/>
      <c r="D592" s="164" t="n"/>
      <c r="E592" s="164" t="n"/>
      <c r="F592" s="164" t="n"/>
      <c r="G592" s="164" t="n"/>
      <c r="H592" s="164" t="n"/>
      <c r="I592" s="166" t="n"/>
      <c r="J592" s="166" t="n"/>
      <c r="K592" s="166" t="n"/>
      <c r="L592" s="168" t="n"/>
      <c r="M592" s="167">
        <f>H592*I592+J592+K592</f>
        <v/>
      </c>
      <c r="N592" s="167">
        <f>M592*L592</f>
        <v/>
      </c>
      <c r="O592" s="167">
        <f>M592+N592</f>
        <v/>
      </c>
      <c r="P592" s="164" t="n"/>
    </row>
    <row r="593">
      <c r="A593" s="173" t="n"/>
      <c r="B593" s="164" t="n"/>
      <c r="C593" s="164" t="n"/>
      <c r="D593" s="164" t="n"/>
      <c r="E593" s="164" t="n"/>
      <c r="F593" s="164" t="n"/>
      <c r="G593" s="164" t="n"/>
      <c r="H593" s="164" t="n"/>
      <c r="I593" s="166" t="n"/>
      <c r="J593" s="166" t="n"/>
      <c r="K593" s="166" t="n"/>
      <c r="L593" s="168" t="n"/>
      <c r="M593" s="167">
        <f>H593*I593+J593+K593</f>
        <v/>
      </c>
      <c r="N593" s="167">
        <f>M593*L593</f>
        <v/>
      </c>
      <c r="O593" s="167">
        <f>M593+N593</f>
        <v/>
      </c>
      <c r="P593" s="164" t="n"/>
    </row>
    <row r="594">
      <c r="A594" s="173" t="n"/>
      <c r="B594" s="164" t="n"/>
      <c r="C594" s="164" t="n"/>
      <c r="D594" s="164" t="n"/>
      <c r="E594" s="164" t="n"/>
      <c r="F594" s="164" t="n"/>
      <c r="G594" s="164" t="n"/>
      <c r="H594" s="164" t="n"/>
      <c r="I594" s="166" t="n"/>
      <c r="J594" s="166" t="n"/>
      <c r="K594" s="166" t="n"/>
      <c r="L594" s="168" t="n"/>
      <c r="M594" s="167">
        <f>H594*I594+J594+K594</f>
        <v/>
      </c>
      <c r="N594" s="167">
        <f>M594*L594</f>
        <v/>
      </c>
      <c r="O594" s="167">
        <f>M594+N594</f>
        <v/>
      </c>
      <c r="P594" s="164" t="n"/>
    </row>
    <row r="595">
      <c r="A595" s="173" t="n"/>
      <c r="B595" s="164" t="n"/>
      <c r="C595" s="164" t="n"/>
      <c r="D595" s="164" t="n"/>
      <c r="E595" s="164" t="n"/>
      <c r="F595" s="164" t="n"/>
      <c r="G595" s="164" t="n"/>
      <c r="H595" s="164" t="n"/>
      <c r="I595" s="166" t="n"/>
      <c r="J595" s="166" t="n"/>
      <c r="K595" s="166" t="n"/>
      <c r="L595" s="168" t="n"/>
      <c r="M595" s="167">
        <f>H595*I595+J595+K595</f>
        <v/>
      </c>
      <c r="N595" s="167">
        <f>M595*L595</f>
        <v/>
      </c>
      <c r="O595" s="167">
        <f>M595+N595</f>
        <v/>
      </c>
      <c r="P595" s="164" t="n"/>
    </row>
    <row r="596">
      <c r="A596" s="173" t="n"/>
      <c r="B596" s="164" t="n"/>
      <c r="C596" s="164" t="n"/>
      <c r="D596" s="164" t="n"/>
      <c r="E596" s="164" t="n"/>
      <c r="F596" s="164" t="n"/>
      <c r="G596" s="164" t="n"/>
      <c r="H596" s="164" t="n"/>
      <c r="I596" s="166" t="n"/>
      <c r="J596" s="166" t="n"/>
      <c r="K596" s="166" t="n"/>
      <c r="L596" s="168" t="n"/>
      <c r="M596" s="167">
        <f>H596*I596+J596+K596</f>
        <v/>
      </c>
      <c r="N596" s="167">
        <f>M596*L596</f>
        <v/>
      </c>
      <c r="O596" s="167">
        <f>M596+N596</f>
        <v/>
      </c>
      <c r="P596" s="164" t="n"/>
    </row>
    <row r="597">
      <c r="A597" s="173" t="n"/>
      <c r="B597" s="164" t="n"/>
      <c r="C597" s="164" t="n"/>
      <c r="D597" s="164" t="n"/>
      <c r="E597" s="164" t="n"/>
      <c r="F597" s="164" t="n"/>
      <c r="G597" s="164" t="n"/>
      <c r="H597" s="164" t="n"/>
      <c r="I597" s="166" t="n"/>
      <c r="J597" s="166" t="n"/>
      <c r="K597" s="166" t="n"/>
      <c r="L597" s="168" t="n"/>
      <c r="M597" s="167">
        <f>H597*I597+J597+K597</f>
        <v/>
      </c>
      <c r="N597" s="167">
        <f>M597*L597</f>
        <v/>
      </c>
      <c r="O597" s="167">
        <f>M597+N597</f>
        <v/>
      </c>
      <c r="P597" s="164" t="n"/>
    </row>
    <row r="598">
      <c r="A598" s="173" t="n"/>
      <c r="B598" s="164" t="n"/>
      <c r="C598" s="164" t="n"/>
      <c r="D598" s="164" t="n"/>
      <c r="E598" s="164" t="n"/>
      <c r="F598" s="164" t="n"/>
      <c r="G598" s="164" t="n"/>
      <c r="H598" s="164" t="n"/>
      <c r="I598" s="166" t="n"/>
      <c r="J598" s="166" t="n"/>
      <c r="K598" s="166" t="n"/>
      <c r="L598" s="168" t="n"/>
      <c r="M598" s="167">
        <f>H598*I598+J598+K598</f>
        <v/>
      </c>
      <c r="N598" s="167">
        <f>M598*L598</f>
        <v/>
      </c>
      <c r="O598" s="167">
        <f>M598+N598</f>
        <v/>
      </c>
      <c r="P598" s="164" t="n"/>
    </row>
    <row r="599">
      <c r="A599" s="173" t="n"/>
      <c r="B599" s="164" t="n"/>
      <c r="C599" s="164" t="n"/>
      <c r="D599" s="164" t="n"/>
      <c r="E599" s="164" t="n"/>
      <c r="F599" s="164" t="n"/>
      <c r="G599" s="164" t="n"/>
      <c r="H599" s="164" t="n"/>
      <c r="I599" s="166" t="n"/>
      <c r="J599" s="166" t="n"/>
      <c r="K599" s="166" t="n"/>
      <c r="L599" s="168" t="n"/>
      <c r="M599" s="167">
        <f>H599*I599+J599+K599</f>
        <v/>
      </c>
      <c r="N599" s="167">
        <f>M599*L599</f>
        <v/>
      </c>
      <c r="O599" s="167">
        <f>M599+N599</f>
        <v/>
      </c>
      <c r="P599" s="164" t="n"/>
    </row>
    <row r="600">
      <c r="A600" s="173" t="n"/>
      <c r="B600" s="164" t="n"/>
      <c r="C600" s="164" t="n"/>
      <c r="D600" s="164" t="n"/>
      <c r="E600" s="164" t="n"/>
      <c r="F600" s="164" t="n"/>
      <c r="G600" s="164" t="n"/>
      <c r="H600" s="164" t="n"/>
      <c r="I600" s="166" t="n"/>
      <c r="J600" s="166" t="n"/>
      <c r="K600" s="166" t="n"/>
      <c r="L600" s="168" t="n"/>
      <c r="M600" s="167">
        <f>H600*I600+J600+K600</f>
        <v/>
      </c>
      <c r="N600" s="167">
        <f>M600*L600</f>
        <v/>
      </c>
      <c r="O600" s="167">
        <f>M600+N600</f>
        <v/>
      </c>
      <c r="P600" s="164" t="n"/>
    </row>
    <row r="601">
      <c r="A601" s="173" t="n"/>
      <c r="B601" s="164" t="n"/>
      <c r="C601" s="164" t="n"/>
      <c r="D601" s="164" t="n"/>
      <c r="E601" s="164" t="n"/>
      <c r="F601" s="164" t="n"/>
      <c r="G601" s="164" t="n"/>
      <c r="H601" s="164" t="n"/>
      <c r="I601" s="166" t="n"/>
      <c r="J601" s="166" t="n"/>
      <c r="K601" s="166" t="n"/>
      <c r="L601" s="168" t="n"/>
      <c r="M601" s="167">
        <f>H601*I601+J601+K601</f>
        <v/>
      </c>
      <c r="N601" s="167">
        <f>M601*L601</f>
        <v/>
      </c>
      <c r="O601" s="167">
        <f>M601+N601</f>
        <v/>
      </c>
      <c r="P601" s="164" t="n"/>
    </row>
    <row r="602">
      <c r="A602" s="173" t="n"/>
      <c r="B602" s="164" t="n"/>
      <c r="C602" s="164" t="n"/>
      <c r="D602" s="164" t="n"/>
      <c r="E602" s="164" t="n"/>
      <c r="F602" s="164" t="n"/>
      <c r="G602" s="164" t="n"/>
      <c r="H602" s="164" t="n"/>
      <c r="I602" s="166" t="n"/>
      <c r="J602" s="166" t="n"/>
      <c r="K602" s="166" t="n"/>
      <c r="L602" s="168" t="n"/>
      <c r="M602" s="167">
        <f>H602*I602+J602+K602</f>
        <v/>
      </c>
      <c r="N602" s="167">
        <f>M602*L602</f>
        <v/>
      </c>
      <c r="O602" s="167">
        <f>M602+N602</f>
        <v/>
      </c>
      <c r="P602" s="164" t="n"/>
    </row>
    <row r="603">
      <c r="A603" s="173" t="n"/>
      <c r="B603" s="164" t="n"/>
      <c r="C603" s="164" t="n"/>
      <c r="D603" s="164" t="n"/>
      <c r="E603" s="164" t="n"/>
      <c r="F603" s="164" t="n"/>
      <c r="G603" s="164" t="n"/>
      <c r="H603" s="164" t="n"/>
      <c r="I603" s="166" t="n"/>
      <c r="J603" s="166" t="n"/>
      <c r="K603" s="166" t="n"/>
      <c r="L603" s="168" t="n"/>
      <c r="M603" s="167">
        <f>H603*I603+J603+K603</f>
        <v/>
      </c>
      <c r="N603" s="167">
        <f>M603*L603</f>
        <v/>
      </c>
      <c r="O603" s="167">
        <f>M603+N603</f>
        <v/>
      </c>
      <c r="P603" s="164" t="n"/>
    </row>
    <row r="604">
      <c r="A604" s="173" t="n"/>
      <c r="B604" s="164" t="n"/>
      <c r="C604" s="164" t="n"/>
      <c r="D604" s="164" t="n"/>
      <c r="E604" s="164" t="n"/>
      <c r="F604" s="164" t="n"/>
      <c r="G604" s="164" t="n"/>
      <c r="H604" s="164" t="n"/>
      <c r="I604" s="166" t="n"/>
      <c r="J604" s="166" t="n"/>
      <c r="K604" s="166" t="n"/>
      <c r="L604" s="168" t="n"/>
      <c r="M604" s="167">
        <f>H604*I604+J604+K604</f>
        <v/>
      </c>
      <c r="N604" s="167">
        <f>M604*L604</f>
        <v/>
      </c>
      <c r="O604" s="167">
        <f>M604+N604</f>
        <v/>
      </c>
      <c r="P604" s="164" t="n"/>
    </row>
    <row r="605">
      <c r="A605" s="173" t="n"/>
      <c r="B605" s="164" t="n"/>
      <c r="C605" s="164" t="n"/>
      <c r="D605" s="164" t="n"/>
      <c r="E605" s="164" t="n"/>
      <c r="F605" s="164" t="n"/>
      <c r="G605" s="164" t="n"/>
      <c r="H605" s="164" t="n"/>
      <c r="I605" s="166" t="n"/>
      <c r="J605" s="166" t="n"/>
      <c r="K605" s="166" t="n"/>
      <c r="L605" s="168" t="n"/>
      <c r="M605" s="167">
        <f>H605*I605+J605+K605</f>
        <v/>
      </c>
      <c r="N605" s="167">
        <f>M605*L605</f>
        <v/>
      </c>
      <c r="O605" s="167">
        <f>M605+N605</f>
        <v/>
      </c>
      <c r="P605" s="164" t="n"/>
    </row>
    <row r="606">
      <c r="A606" s="173" t="n"/>
      <c r="B606" s="164" t="n"/>
      <c r="C606" s="164" t="n"/>
      <c r="D606" s="164" t="n"/>
      <c r="E606" s="164" t="n"/>
      <c r="F606" s="164" t="n"/>
      <c r="G606" s="164" t="n"/>
      <c r="H606" s="164" t="n"/>
      <c r="I606" s="166" t="n"/>
      <c r="J606" s="166" t="n"/>
      <c r="K606" s="166" t="n"/>
      <c r="L606" s="168" t="n"/>
      <c r="M606" s="167">
        <f>H606*I606+J606+K606</f>
        <v/>
      </c>
      <c r="N606" s="167">
        <f>M606*L606</f>
        <v/>
      </c>
      <c r="O606" s="167">
        <f>M606+N606</f>
        <v/>
      </c>
      <c r="P606" s="164" t="n"/>
    </row>
    <row r="607">
      <c r="A607" s="173" t="n"/>
      <c r="B607" s="164" t="n"/>
      <c r="C607" s="164" t="n"/>
      <c r="D607" s="164" t="n"/>
      <c r="E607" s="164" t="n"/>
      <c r="F607" s="164" t="n"/>
      <c r="G607" s="164" t="n"/>
      <c r="H607" s="164" t="n"/>
      <c r="I607" s="166" t="n"/>
      <c r="J607" s="166" t="n"/>
      <c r="K607" s="166" t="n"/>
      <c r="L607" s="168" t="n"/>
      <c r="M607" s="167">
        <f>H607*I607+J607+K607</f>
        <v/>
      </c>
      <c r="N607" s="167">
        <f>M607*L607</f>
        <v/>
      </c>
      <c r="O607" s="167">
        <f>M607+N607</f>
        <v/>
      </c>
      <c r="P607" s="164" t="n"/>
    </row>
    <row r="608">
      <c r="A608" s="173" t="n"/>
      <c r="B608" s="164" t="n"/>
      <c r="C608" s="164" t="n"/>
      <c r="D608" s="164" t="n"/>
      <c r="E608" s="164" t="n"/>
      <c r="F608" s="164" t="n"/>
      <c r="G608" s="164" t="n"/>
      <c r="H608" s="164" t="n"/>
      <c r="I608" s="166" t="n"/>
      <c r="J608" s="166" t="n"/>
      <c r="K608" s="166" t="n"/>
      <c r="L608" s="168" t="n"/>
      <c r="M608" s="167">
        <f>H608*I608+J608+K608</f>
        <v/>
      </c>
      <c r="N608" s="167">
        <f>M608*L608</f>
        <v/>
      </c>
      <c r="O608" s="167">
        <f>M608+N608</f>
        <v/>
      </c>
      <c r="P608" s="164" t="n"/>
    </row>
    <row r="609">
      <c r="A609" s="173" t="n"/>
      <c r="B609" s="164" t="n"/>
      <c r="C609" s="164" t="n"/>
      <c r="D609" s="164" t="n"/>
      <c r="E609" s="164" t="n"/>
      <c r="F609" s="164" t="n"/>
      <c r="G609" s="164" t="n"/>
      <c r="H609" s="164" t="n"/>
      <c r="I609" s="166" t="n"/>
      <c r="J609" s="166" t="n"/>
      <c r="K609" s="166" t="n"/>
      <c r="L609" s="168" t="n"/>
      <c r="M609" s="167">
        <f>H609*I609+J609+K609</f>
        <v/>
      </c>
      <c r="N609" s="167">
        <f>M609*L609</f>
        <v/>
      </c>
      <c r="O609" s="167">
        <f>M609+N609</f>
        <v/>
      </c>
      <c r="P609" s="164" t="n"/>
    </row>
    <row r="610">
      <c r="A610" s="173" t="n"/>
      <c r="B610" s="164" t="n"/>
      <c r="C610" s="164" t="n"/>
      <c r="D610" s="164" t="n"/>
      <c r="E610" s="164" t="n"/>
      <c r="F610" s="164" t="n"/>
      <c r="G610" s="164" t="n"/>
      <c r="H610" s="164" t="n"/>
      <c r="I610" s="166" t="n"/>
      <c r="J610" s="166" t="n"/>
      <c r="K610" s="166" t="n"/>
      <c r="L610" s="168" t="n"/>
      <c r="M610" s="167">
        <f>H610*I610+J610+K610</f>
        <v/>
      </c>
      <c r="N610" s="167">
        <f>M610*L610</f>
        <v/>
      </c>
      <c r="O610" s="167">
        <f>M610+N610</f>
        <v/>
      </c>
      <c r="P610" s="164" t="n"/>
    </row>
    <row r="611">
      <c r="A611" s="173" t="n"/>
      <c r="B611" s="164" t="n"/>
      <c r="C611" s="164" t="n"/>
      <c r="D611" s="164" t="n"/>
      <c r="E611" s="164" t="n"/>
      <c r="F611" s="164" t="n"/>
      <c r="G611" s="164" t="n"/>
      <c r="H611" s="164" t="n"/>
      <c r="I611" s="166" t="n"/>
      <c r="J611" s="166" t="n"/>
      <c r="K611" s="166" t="n"/>
      <c r="L611" s="168" t="n"/>
      <c r="M611" s="167">
        <f>H611*I611+J611+K611</f>
        <v/>
      </c>
      <c r="N611" s="167">
        <f>M611*L611</f>
        <v/>
      </c>
      <c r="O611" s="167">
        <f>M611+N611</f>
        <v/>
      </c>
      <c r="P611" s="164" t="n"/>
    </row>
    <row r="612">
      <c r="A612" s="173" t="n"/>
      <c r="B612" s="164" t="n"/>
      <c r="C612" s="164" t="n"/>
      <c r="D612" s="164" t="n"/>
      <c r="E612" s="164" t="n"/>
      <c r="F612" s="164" t="n"/>
      <c r="G612" s="164" t="n"/>
      <c r="H612" s="164" t="n"/>
      <c r="I612" s="166" t="n"/>
      <c r="J612" s="166" t="n"/>
      <c r="K612" s="166" t="n"/>
      <c r="L612" s="168" t="n"/>
      <c r="M612" s="167">
        <f>H612*I612+J612+K612</f>
        <v/>
      </c>
      <c r="N612" s="167">
        <f>M612*L612</f>
        <v/>
      </c>
      <c r="O612" s="167">
        <f>M612+N612</f>
        <v/>
      </c>
      <c r="P612" s="164" t="n"/>
    </row>
    <row r="613">
      <c r="A613" s="173" t="n"/>
      <c r="B613" s="164" t="n"/>
      <c r="C613" s="164" t="n"/>
      <c r="D613" s="164" t="n"/>
      <c r="E613" s="164" t="n"/>
      <c r="F613" s="164" t="n"/>
      <c r="G613" s="164" t="n"/>
      <c r="H613" s="164" t="n"/>
      <c r="I613" s="166" t="n"/>
      <c r="J613" s="166" t="n"/>
      <c r="K613" s="166" t="n"/>
      <c r="L613" s="168" t="n"/>
      <c r="M613" s="167">
        <f>H613*I613+J613+K613</f>
        <v/>
      </c>
      <c r="N613" s="167">
        <f>M613*L613</f>
        <v/>
      </c>
      <c r="O613" s="167">
        <f>M613+N613</f>
        <v/>
      </c>
      <c r="P613" s="164" t="n"/>
    </row>
    <row r="614">
      <c r="A614" s="173" t="n"/>
      <c r="B614" s="164" t="n"/>
      <c r="C614" s="164" t="n"/>
      <c r="D614" s="164" t="n"/>
      <c r="E614" s="164" t="n"/>
      <c r="F614" s="164" t="n"/>
      <c r="G614" s="164" t="n"/>
      <c r="H614" s="164" t="n"/>
      <c r="I614" s="166" t="n"/>
      <c r="J614" s="166" t="n"/>
      <c r="K614" s="166" t="n"/>
      <c r="L614" s="168" t="n"/>
      <c r="M614" s="167">
        <f>H614*I614+J614+K614</f>
        <v/>
      </c>
      <c r="N614" s="167">
        <f>M614*L614</f>
        <v/>
      </c>
      <c r="O614" s="167">
        <f>M614+N614</f>
        <v/>
      </c>
      <c r="P614" s="164" t="n"/>
    </row>
    <row r="615">
      <c r="A615" s="173" t="n"/>
      <c r="B615" s="164" t="n"/>
      <c r="C615" s="164" t="n"/>
      <c r="D615" s="164" t="n"/>
      <c r="E615" s="164" t="n"/>
      <c r="F615" s="164" t="n"/>
      <c r="G615" s="164" t="n"/>
      <c r="H615" s="164" t="n"/>
      <c r="I615" s="166" t="n"/>
      <c r="J615" s="166" t="n"/>
      <c r="K615" s="166" t="n"/>
      <c r="L615" s="168" t="n"/>
      <c r="M615" s="167">
        <f>H615*I615+J615+K615</f>
        <v/>
      </c>
      <c r="N615" s="167">
        <f>M615*L615</f>
        <v/>
      </c>
      <c r="O615" s="167">
        <f>M615+N615</f>
        <v/>
      </c>
      <c r="P615" s="164" t="n"/>
    </row>
    <row r="616">
      <c r="A616" s="173" t="n"/>
      <c r="B616" s="164" t="n"/>
      <c r="C616" s="164" t="n"/>
      <c r="D616" s="164" t="n"/>
      <c r="E616" s="164" t="n"/>
      <c r="F616" s="164" t="n"/>
      <c r="G616" s="164" t="n"/>
      <c r="H616" s="164" t="n"/>
      <c r="I616" s="166" t="n"/>
      <c r="J616" s="166" t="n"/>
      <c r="K616" s="166" t="n"/>
      <c r="L616" s="168" t="n"/>
      <c r="M616" s="167">
        <f>H616*I616+J616+K616</f>
        <v/>
      </c>
      <c r="N616" s="167">
        <f>M616*L616</f>
        <v/>
      </c>
      <c r="O616" s="167">
        <f>M616+N616</f>
        <v/>
      </c>
      <c r="P616" s="164" t="n"/>
    </row>
    <row r="617">
      <c r="A617" s="173" t="n"/>
      <c r="B617" s="164" t="n"/>
      <c r="C617" s="164" t="n"/>
      <c r="D617" s="164" t="n"/>
      <c r="E617" s="164" t="n"/>
      <c r="F617" s="164" t="n"/>
      <c r="G617" s="164" t="n"/>
      <c r="H617" s="164" t="n"/>
      <c r="I617" s="166" t="n"/>
      <c r="J617" s="166" t="n"/>
      <c r="K617" s="166" t="n"/>
      <c r="L617" s="168" t="n"/>
      <c r="M617" s="167">
        <f>H617*I617+J617+K617</f>
        <v/>
      </c>
      <c r="N617" s="167">
        <f>M617*L617</f>
        <v/>
      </c>
      <c r="O617" s="167">
        <f>M617+N617</f>
        <v/>
      </c>
      <c r="P617" s="164" t="n"/>
    </row>
    <row r="618">
      <c r="A618" s="173" t="n"/>
      <c r="B618" s="164" t="n"/>
      <c r="C618" s="164" t="n"/>
      <c r="D618" s="164" t="n"/>
      <c r="E618" s="164" t="n"/>
      <c r="F618" s="164" t="n"/>
      <c r="G618" s="164" t="n"/>
      <c r="H618" s="164" t="n"/>
      <c r="I618" s="166" t="n"/>
      <c r="J618" s="166" t="n"/>
      <c r="K618" s="166" t="n"/>
      <c r="L618" s="168" t="n"/>
      <c r="M618" s="167">
        <f>H618*I618+J618+K618</f>
        <v/>
      </c>
      <c r="N618" s="167">
        <f>M618*L618</f>
        <v/>
      </c>
      <c r="O618" s="167">
        <f>M618+N618</f>
        <v/>
      </c>
      <c r="P618" s="164" t="n"/>
    </row>
    <row r="619">
      <c r="A619" s="173" t="n"/>
      <c r="B619" s="164" t="n"/>
      <c r="C619" s="164" t="n"/>
      <c r="D619" s="164" t="n"/>
      <c r="E619" s="164" t="n"/>
      <c r="F619" s="164" t="n"/>
      <c r="G619" s="164" t="n"/>
      <c r="H619" s="164" t="n"/>
      <c r="I619" s="166" t="n"/>
      <c r="J619" s="166" t="n"/>
      <c r="K619" s="166" t="n"/>
      <c r="L619" s="168" t="n"/>
      <c r="M619" s="167">
        <f>H619*I619+J619+K619</f>
        <v/>
      </c>
      <c r="N619" s="167">
        <f>M619*L619</f>
        <v/>
      </c>
      <c r="O619" s="167">
        <f>M619+N619</f>
        <v/>
      </c>
      <c r="P619" s="164" t="n"/>
    </row>
    <row r="620">
      <c r="A620" s="173" t="n"/>
      <c r="B620" s="164" t="n"/>
      <c r="C620" s="164" t="n"/>
      <c r="D620" s="164" t="n"/>
      <c r="E620" s="164" t="n"/>
      <c r="F620" s="164" t="n"/>
      <c r="G620" s="164" t="n"/>
      <c r="H620" s="164" t="n"/>
      <c r="I620" s="166" t="n"/>
      <c r="J620" s="166" t="n"/>
      <c r="K620" s="166" t="n"/>
      <c r="L620" s="168" t="n"/>
      <c r="M620" s="167">
        <f>H620*I620+J620+K620</f>
        <v/>
      </c>
      <c r="N620" s="167">
        <f>M620*L620</f>
        <v/>
      </c>
      <c r="O620" s="167">
        <f>M620+N620</f>
        <v/>
      </c>
      <c r="P620" s="164" t="n"/>
    </row>
    <row r="621">
      <c r="A621" s="173" t="n"/>
      <c r="B621" s="164" t="n"/>
      <c r="C621" s="164" t="n"/>
      <c r="D621" s="164" t="n"/>
      <c r="E621" s="164" t="n"/>
      <c r="F621" s="164" t="n"/>
      <c r="G621" s="164" t="n"/>
      <c r="H621" s="164" t="n"/>
      <c r="I621" s="166" t="n"/>
      <c r="J621" s="166" t="n"/>
      <c r="K621" s="166" t="n"/>
      <c r="L621" s="168" t="n"/>
      <c r="M621" s="167">
        <f>H621*I621+J621+K621</f>
        <v/>
      </c>
      <c r="N621" s="167">
        <f>M621*L621</f>
        <v/>
      </c>
      <c r="O621" s="167">
        <f>M621+N621</f>
        <v/>
      </c>
      <c r="P621" s="164" t="n"/>
    </row>
    <row r="622">
      <c r="A622" s="173" t="n"/>
      <c r="B622" s="164" t="n"/>
      <c r="C622" s="164" t="n"/>
      <c r="D622" s="164" t="n"/>
      <c r="E622" s="164" t="n"/>
      <c r="F622" s="164" t="n"/>
      <c r="G622" s="164" t="n"/>
      <c r="H622" s="164" t="n"/>
      <c r="I622" s="166" t="n"/>
      <c r="J622" s="166" t="n"/>
      <c r="K622" s="166" t="n"/>
      <c r="L622" s="168" t="n"/>
      <c r="M622" s="167">
        <f>H622*I622+J622+K622</f>
        <v/>
      </c>
      <c r="N622" s="167">
        <f>M622*L622</f>
        <v/>
      </c>
      <c r="O622" s="167">
        <f>M622+N622</f>
        <v/>
      </c>
      <c r="P622" s="164" t="n"/>
    </row>
    <row r="623">
      <c r="A623" s="173" t="n"/>
      <c r="B623" s="164" t="n"/>
      <c r="C623" s="164" t="n"/>
      <c r="D623" s="164" t="n"/>
      <c r="E623" s="164" t="n"/>
      <c r="F623" s="164" t="n"/>
      <c r="G623" s="164" t="n"/>
      <c r="H623" s="164" t="n"/>
      <c r="I623" s="166" t="n"/>
      <c r="J623" s="166" t="n"/>
      <c r="K623" s="166" t="n"/>
      <c r="L623" s="168" t="n"/>
      <c r="M623" s="167">
        <f>H623*I623+J623+K623</f>
        <v/>
      </c>
      <c r="N623" s="167">
        <f>M623*L623</f>
        <v/>
      </c>
      <c r="O623" s="167">
        <f>M623+N623</f>
        <v/>
      </c>
      <c r="P623" s="164" t="n"/>
    </row>
    <row r="624">
      <c r="A624" s="173" t="n"/>
      <c r="B624" s="164" t="n"/>
      <c r="C624" s="164" t="n"/>
      <c r="D624" s="164" t="n"/>
      <c r="E624" s="164" t="n"/>
      <c r="F624" s="164" t="n"/>
      <c r="G624" s="164" t="n"/>
      <c r="H624" s="164" t="n"/>
      <c r="I624" s="166" t="n"/>
      <c r="J624" s="166" t="n"/>
      <c r="K624" s="166" t="n"/>
      <c r="L624" s="168" t="n"/>
      <c r="M624" s="167">
        <f>H624*I624+J624+K624</f>
        <v/>
      </c>
      <c r="N624" s="167">
        <f>M624*L624</f>
        <v/>
      </c>
      <c r="O624" s="167">
        <f>M624+N624</f>
        <v/>
      </c>
      <c r="P624" s="164" t="n"/>
    </row>
    <row r="625">
      <c r="A625" s="173" t="n"/>
      <c r="B625" s="164" t="n"/>
      <c r="C625" s="164" t="n"/>
      <c r="D625" s="164" t="n"/>
      <c r="E625" s="164" t="n"/>
      <c r="F625" s="164" t="n"/>
      <c r="G625" s="164" t="n"/>
      <c r="H625" s="164" t="n"/>
      <c r="I625" s="166" t="n"/>
      <c r="J625" s="166" t="n"/>
      <c r="K625" s="166" t="n"/>
      <c r="L625" s="168" t="n"/>
      <c r="M625" s="167">
        <f>H625*I625+J625+K625</f>
        <v/>
      </c>
      <c r="N625" s="167">
        <f>M625*L625</f>
        <v/>
      </c>
      <c r="O625" s="167">
        <f>M625+N625</f>
        <v/>
      </c>
      <c r="P625" s="164" t="n"/>
    </row>
    <row r="626">
      <c r="A626" s="173" t="n"/>
      <c r="B626" s="164" t="n"/>
      <c r="C626" s="164" t="n"/>
      <c r="D626" s="164" t="n"/>
      <c r="E626" s="164" t="n"/>
      <c r="F626" s="164" t="n"/>
      <c r="G626" s="164" t="n"/>
      <c r="H626" s="164" t="n"/>
      <c r="I626" s="166" t="n"/>
      <c r="J626" s="166" t="n"/>
      <c r="K626" s="166" t="n"/>
      <c r="L626" s="168" t="n"/>
      <c r="M626" s="167">
        <f>H626*I626+J626+K626</f>
        <v/>
      </c>
      <c r="N626" s="167">
        <f>M626*L626</f>
        <v/>
      </c>
      <c r="O626" s="167">
        <f>M626+N626</f>
        <v/>
      </c>
      <c r="P626" s="164" t="n"/>
    </row>
    <row r="627">
      <c r="A627" s="173" t="n"/>
      <c r="B627" s="164" t="n"/>
      <c r="C627" s="164" t="n"/>
      <c r="D627" s="164" t="n"/>
      <c r="E627" s="164" t="n"/>
      <c r="F627" s="164" t="n"/>
      <c r="G627" s="164" t="n"/>
      <c r="H627" s="164" t="n"/>
      <c r="I627" s="166" t="n"/>
      <c r="J627" s="166" t="n"/>
      <c r="K627" s="166" t="n"/>
      <c r="L627" s="168" t="n"/>
      <c r="M627" s="167">
        <f>H627*I627+J627+K627</f>
        <v/>
      </c>
      <c r="N627" s="167">
        <f>M627*L627</f>
        <v/>
      </c>
      <c r="O627" s="167">
        <f>M627+N627</f>
        <v/>
      </c>
      <c r="P627" s="164" t="n"/>
    </row>
    <row r="628">
      <c r="A628" s="173" t="n"/>
      <c r="B628" s="164" t="n"/>
      <c r="C628" s="164" t="n"/>
      <c r="D628" s="164" t="n"/>
      <c r="E628" s="164" t="n"/>
      <c r="F628" s="164" t="n"/>
      <c r="G628" s="164" t="n"/>
      <c r="H628" s="164" t="n"/>
      <c r="I628" s="166" t="n"/>
      <c r="J628" s="166" t="n"/>
      <c r="K628" s="166" t="n"/>
      <c r="L628" s="168" t="n"/>
      <c r="M628" s="167">
        <f>H628*I628+J628+K628</f>
        <v/>
      </c>
      <c r="N628" s="167">
        <f>M628*L628</f>
        <v/>
      </c>
      <c r="O628" s="167">
        <f>M628+N628</f>
        <v/>
      </c>
      <c r="P628" s="164" t="n"/>
    </row>
    <row r="629">
      <c r="A629" s="173" t="n"/>
      <c r="B629" s="164" t="n"/>
      <c r="C629" s="164" t="n"/>
      <c r="D629" s="164" t="n"/>
      <c r="E629" s="164" t="n"/>
      <c r="F629" s="164" t="n"/>
      <c r="G629" s="164" t="n"/>
      <c r="H629" s="164" t="n"/>
      <c r="I629" s="166" t="n"/>
      <c r="J629" s="166" t="n"/>
      <c r="K629" s="166" t="n"/>
      <c r="L629" s="168" t="n"/>
      <c r="M629" s="167">
        <f>H629*I629+J629+K629</f>
        <v/>
      </c>
      <c r="N629" s="167">
        <f>M629*L629</f>
        <v/>
      </c>
      <c r="O629" s="167">
        <f>M629+N629</f>
        <v/>
      </c>
      <c r="P629" s="164" t="n"/>
    </row>
    <row r="630">
      <c r="A630" s="173" t="n"/>
      <c r="B630" s="164" t="n"/>
      <c r="C630" s="164" t="n"/>
      <c r="D630" s="164" t="n"/>
      <c r="E630" s="164" t="n"/>
      <c r="F630" s="164" t="n"/>
      <c r="G630" s="164" t="n"/>
      <c r="H630" s="164" t="n"/>
      <c r="I630" s="166" t="n"/>
      <c r="J630" s="166" t="n"/>
      <c r="K630" s="166" t="n"/>
      <c r="L630" s="168" t="n"/>
      <c r="M630" s="167">
        <f>H630*I630+J630+K630</f>
        <v/>
      </c>
      <c r="N630" s="167">
        <f>M630*L630</f>
        <v/>
      </c>
      <c r="O630" s="167">
        <f>M630+N630</f>
        <v/>
      </c>
      <c r="P630" s="164" t="n"/>
    </row>
    <row r="631">
      <c r="A631" s="173" t="n"/>
      <c r="B631" s="164" t="n"/>
      <c r="C631" s="164" t="n"/>
      <c r="D631" s="164" t="n"/>
      <c r="E631" s="164" t="n"/>
      <c r="F631" s="164" t="n"/>
      <c r="G631" s="164" t="n"/>
      <c r="H631" s="164" t="n"/>
      <c r="I631" s="166" t="n"/>
      <c r="J631" s="166" t="n"/>
      <c r="K631" s="166" t="n"/>
      <c r="L631" s="168" t="n"/>
      <c r="M631" s="167">
        <f>H631*I631+J631+K631</f>
        <v/>
      </c>
      <c r="N631" s="167">
        <f>M631*L631</f>
        <v/>
      </c>
      <c r="O631" s="167">
        <f>M631+N631</f>
        <v/>
      </c>
      <c r="P631" s="164" t="n"/>
    </row>
    <row r="632">
      <c r="A632" s="173" t="n"/>
      <c r="B632" s="164" t="n"/>
      <c r="C632" s="164" t="n"/>
      <c r="D632" s="164" t="n"/>
      <c r="E632" s="164" t="n"/>
      <c r="F632" s="164" t="n"/>
      <c r="G632" s="164" t="n"/>
      <c r="H632" s="164" t="n"/>
      <c r="I632" s="166" t="n"/>
      <c r="J632" s="166" t="n"/>
      <c r="K632" s="166" t="n"/>
      <c r="L632" s="168" t="n"/>
      <c r="M632" s="167">
        <f>H632*I632+J632+K632</f>
        <v/>
      </c>
      <c r="N632" s="167">
        <f>M632*L632</f>
        <v/>
      </c>
      <c r="O632" s="167">
        <f>M632+N632</f>
        <v/>
      </c>
      <c r="P632" s="164" t="n"/>
    </row>
    <row r="633">
      <c r="A633" s="173" t="n"/>
      <c r="B633" s="164" t="n"/>
      <c r="C633" s="164" t="n"/>
      <c r="D633" s="164" t="n"/>
      <c r="E633" s="164" t="n"/>
      <c r="F633" s="164" t="n"/>
      <c r="G633" s="164" t="n"/>
      <c r="H633" s="164" t="n"/>
      <c r="I633" s="166" t="n"/>
      <c r="J633" s="166" t="n"/>
      <c r="K633" s="166" t="n"/>
      <c r="L633" s="168" t="n"/>
      <c r="M633" s="167">
        <f>H633*I633+J633+K633</f>
        <v/>
      </c>
      <c r="N633" s="167">
        <f>M633*L633</f>
        <v/>
      </c>
      <c r="O633" s="167">
        <f>M633+N633</f>
        <v/>
      </c>
      <c r="P633" s="164" t="n"/>
    </row>
    <row r="634">
      <c r="A634" s="173" t="n"/>
      <c r="B634" s="164" t="n"/>
      <c r="C634" s="164" t="n"/>
      <c r="D634" s="164" t="n"/>
      <c r="E634" s="164" t="n"/>
      <c r="F634" s="164" t="n"/>
      <c r="G634" s="164" t="n"/>
      <c r="H634" s="164" t="n"/>
      <c r="I634" s="166" t="n"/>
      <c r="J634" s="166" t="n"/>
      <c r="K634" s="166" t="n"/>
      <c r="L634" s="168" t="n"/>
      <c r="M634" s="167">
        <f>H634*I634+J634+K634</f>
        <v/>
      </c>
      <c r="N634" s="167">
        <f>M634*L634</f>
        <v/>
      </c>
      <c r="O634" s="167">
        <f>M634+N634</f>
        <v/>
      </c>
      <c r="P634" s="164" t="n"/>
    </row>
    <row r="635">
      <c r="A635" s="173" t="n"/>
      <c r="B635" s="164" t="n"/>
      <c r="C635" s="164" t="n"/>
      <c r="D635" s="164" t="n"/>
      <c r="E635" s="164" t="n"/>
      <c r="F635" s="164" t="n"/>
      <c r="G635" s="164" t="n"/>
      <c r="H635" s="164" t="n"/>
      <c r="I635" s="166" t="n"/>
      <c r="J635" s="166" t="n"/>
      <c r="K635" s="166" t="n"/>
      <c r="L635" s="168" t="n"/>
      <c r="M635" s="167">
        <f>H635*I635+J635+K635</f>
        <v/>
      </c>
      <c r="N635" s="167">
        <f>M635*L635</f>
        <v/>
      </c>
      <c r="O635" s="167">
        <f>M635+N635</f>
        <v/>
      </c>
      <c r="P635" s="164" t="n"/>
    </row>
    <row r="636">
      <c r="A636" s="173" t="n"/>
      <c r="B636" s="164" t="n"/>
      <c r="C636" s="164" t="n"/>
      <c r="D636" s="164" t="n"/>
      <c r="E636" s="164" t="n"/>
      <c r="F636" s="164" t="n"/>
      <c r="G636" s="164" t="n"/>
      <c r="H636" s="164" t="n"/>
      <c r="I636" s="166" t="n"/>
      <c r="J636" s="166" t="n"/>
      <c r="K636" s="166" t="n"/>
      <c r="L636" s="168" t="n"/>
      <c r="M636" s="167">
        <f>H636*I636+J636+K636</f>
        <v/>
      </c>
      <c r="N636" s="167">
        <f>M636*L636</f>
        <v/>
      </c>
      <c r="O636" s="167">
        <f>M636+N636</f>
        <v/>
      </c>
      <c r="P636" s="164" t="n"/>
    </row>
    <row r="637">
      <c r="A637" s="173" t="n"/>
      <c r="B637" s="164" t="n"/>
      <c r="C637" s="164" t="n"/>
      <c r="D637" s="164" t="n"/>
      <c r="E637" s="164" t="n"/>
      <c r="F637" s="164" t="n"/>
      <c r="G637" s="164" t="n"/>
      <c r="H637" s="164" t="n"/>
      <c r="I637" s="166" t="n"/>
      <c r="J637" s="166" t="n"/>
      <c r="K637" s="166" t="n"/>
      <c r="L637" s="168" t="n"/>
      <c r="M637" s="167">
        <f>H637*I637+J637+K637</f>
        <v/>
      </c>
      <c r="N637" s="167">
        <f>M637*L637</f>
        <v/>
      </c>
      <c r="O637" s="167">
        <f>M637+N637</f>
        <v/>
      </c>
      <c r="P637" s="164" t="n"/>
    </row>
    <row r="638">
      <c r="A638" s="173" t="n"/>
      <c r="B638" s="164" t="n"/>
      <c r="C638" s="164" t="n"/>
      <c r="D638" s="164" t="n"/>
      <c r="E638" s="164" t="n"/>
      <c r="F638" s="164" t="n"/>
      <c r="G638" s="164" t="n"/>
      <c r="H638" s="164" t="n"/>
      <c r="I638" s="166" t="n"/>
      <c r="J638" s="166" t="n"/>
      <c r="K638" s="166" t="n"/>
      <c r="L638" s="168" t="n"/>
      <c r="M638" s="167">
        <f>H638*I638+J638+K638</f>
        <v/>
      </c>
      <c r="N638" s="167">
        <f>M638*L638</f>
        <v/>
      </c>
      <c r="O638" s="167">
        <f>M638+N638</f>
        <v/>
      </c>
      <c r="P638" s="164" t="n"/>
    </row>
    <row r="639">
      <c r="A639" s="173" t="n"/>
      <c r="B639" s="164" t="n"/>
      <c r="C639" s="164" t="n"/>
      <c r="D639" s="164" t="n"/>
      <c r="E639" s="164" t="n"/>
      <c r="F639" s="164" t="n"/>
      <c r="G639" s="164" t="n"/>
      <c r="H639" s="164" t="n"/>
      <c r="I639" s="166" t="n"/>
      <c r="J639" s="166" t="n"/>
      <c r="K639" s="166" t="n"/>
      <c r="L639" s="168" t="n"/>
      <c r="M639" s="167">
        <f>H639*I639+J639+K639</f>
        <v/>
      </c>
      <c r="N639" s="167">
        <f>M639*L639</f>
        <v/>
      </c>
      <c r="O639" s="167">
        <f>M639+N639</f>
        <v/>
      </c>
      <c r="P639" s="164" t="n"/>
    </row>
    <row r="640">
      <c r="A640" s="173" t="n"/>
      <c r="B640" s="164" t="n"/>
      <c r="C640" s="164" t="n"/>
      <c r="D640" s="164" t="n"/>
      <c r="E640" s="164" t="n"/>
      <c r="F640" s="164" t="n"/>
      <c r="G640" s="164" t="n"/>
      <c r="H640" s="164" t="n"/>
      <c r="I640" s="166" t="n"/>
      <c r="J640" s="166" t="n"/>
      <c r="K640" s="166" t="n"/>
      <c r="L640" s="168" t="n"/>
      <c r="M640" s="167">
        <f>H640*I640+J640+K640</f>
        <v/>
      </c>
      <c r="N640" s="167">
        <f>M640*L640</f>
        <v/>
      </c>
      <c r="O640" s="167">
        <f>M640+N640</f>
        <v/>
      </c>
      <c r="P640" s="164" t="n"/>
    </row>
    <row r="641">
      <c r="A641" s="173" t="n"/>
      <c r="B641" s="164" t="n"/>
      <c r="C641" s="164" t="n"/>
      <c r="D641" s="164" t="n"/>
      <c r="E641" s="164" t="n"/>
      <c r="F641" s="164" t="n"/>
      <c r="G641" s="164" t="n"/>
      <c r="H641" s="164" t="n"/>
      <c r="I641" s="166" t="n"/>
      <c r="J641" s="166" t="n"/>
      <c r="K641" s="166" t="n"/>
      <c r="L641" s="168" t="n"/>
      <c r="M641" s="167">
        <f>H641*I641+J641+K641</f>
        <v/>
      </c>
      <c r="N641" s="167">
        <f>M641*L641</f>
        <v/>
      </c>
      <c r="O641" s="167">
        <f>M641+N641</f>
        <v/>
      </c>
      <c r="P641" s="164" t="n"/>
    </row>
    <row r="642">
      <c r="A642" s="173" t="n"/>
      <c r="B642" s="164" t="n"/>
      <c r="C642" s="164" t="n"/>
      <c r="D642" s="164" t="n"/>
      <c r="E642" s="164" t="n"/>
      <c r="F642" s="164" t="n"/>
      <c r="G642" s="164" t="n"/>
      <c r="H642" s="164" t="n"/>
      <c r="I642" s="166" t="n"/>
      <c r="J642" s="166" t="n"/>
      <c r="K642" s="166" t="n"/>
      <c r="L642" s="168" t="n"/>
      <c r="M642" s="167">
        <f>H642*I642+J642+K642</f>
        <v/>
      </c>
      <c r="N642" s="167">
        <f>M642*L642</f>
        <v/>
      </c>
      <c r="O642" s="167">
        <f>M642+N642</f>
        <v/>
      </c>
      <c r="P642" s="164" t="n"/>
    </row>
    <row r="643">
      <c r="A643" s="173" t="n"/>
      <c r="B643" s="164" t="n"/>
      <c r="C643" s="164" t="n"/>
      <c r="D643" s="164" t="n"/>
      <c r="E643" s="164" t="n"/>
      <c r="F643" s="164" t="n"/>
      <c r="G643" s="164" t="n"/>
      <c r="H643" s="164" t="n"/>
      <c r="I643" s="166" t="n"/>
      <c r="J643" s="166" t="n"/>
      <c r="K643" s="166" t="n"/>
      <c r="L643" s="168" t="n"/>
      <c r="M643" s="167">
        <f>H643*I643+J643+K643</f>
        <v/>
      </c>
      <c r="N643" s="167">
        <f>M643*L643</f>
        <v/>
      </c>
      <c r="O643" s="167">
        <f>M643+N643</f>
        <v/>
      </c>
      <c r="P643" s="164" t="n"/>
    </row>
    <row r="644">
      <c r="A644" s="173" t="n"/>
      <c r="B644" s="164" t="n"/>
      <c r="C644" s="164" t="n"/>
      <c r="D644" s="164" t="n"/>
      <c r="E644" s="164" t="n"/>
      <c r="F644" s="164" t="n"/>
      <c r="G644" s="164" t="n"/>
      <c r="H644" s="164" t="n"/>
      <c r="I644" s="166" t="n"/>
      <c r="J644" s="166" t="n"/>
      <c r="K644" s="166" t="n"/>
      <c r="L644" s="168" t="n"/>
      <c r="M644" s="167">
        <f>H644*I644+J644+K644</f>
        <v/>
      </c>
      <c r="N644" s="167">
        <f>M644*L644</f>
        <v/>
      </c>
      <c r="O644" s="167">
        <f>M644+N644</f>
        <v/>
      </c>
      <c r="P644" s="164" t="n"/>
    </row>
    <row r="645">
      <c r="A645" s="173" t="n"/>
      <c r="B645" s="164" t="n"/>
      <c r="C645" s="164" t="n"/>
      <c r="D645" s="164" t="n"/>
      <c r="E645" s="164" t="n"/>
      <c r="F645" s="164" t="n"/>
      <c r="G645" s="164" t="n"/>
      <c r="H645" s="164" t="n"/>
      <c r="I645" s="166" t="n"/>
      <c r="J645" s="166" t="n"/>
      <c r="K645" s="166" t="n"/>
      <c r="L645" s="168" t="n"/>
      <c r="M645" s="167">
        <f>H645*I645+J645+K645</f>
        <v/>
      </c>
      <c r="N645" s="167">
        <f>M645*L645</f>
        <v/>
      </c>
      <c r="O645" s="167">
        <f>M645+N645</f>
        <v/>
      </c>
      <c r="P645" s="164" t="n"/>
    </row>
    <row r="646">
      <c r="A646" s="173" t="n"/>
      <c r="B646" s="164" t="n"/>
      <c r="C646" s="164" t="n"/>
      <c r="D646" s="164" t="n"/>
      <c r="E646" s="164" t="n"/>
      <c r="F646" s="164" t="n"/>
      <c r="G646" s="164" t="n"/>
      <c r="H646" s="164" t="n"/>
      <c r="I646" s="166" t="n"/>
      <c r="J646" s="166" t="n"/>
      <c r="K646" s="166" t="n"/>
      <c r="L646" s="168" t="n"/>
      <c r="M646" s="167">
        <f>H646*I646+J646+K646</f>
        <v/>
      </c>
      <c r="N646" s="167">
        <f>M646*L646</f>
        <v/>
      </c>
      <c r="O646" s="167">
        <f>M646+N646</f>
        <v/>
      </c>
      <c r="P646" s="164" t="n"/>
    </row>
    <row r="647">
      <c r="A647" s="173" t="n"/>
      <c r="B647" s="164" t="n"/>
      <c r="C647" s="164" t="n"/>
      <c r="D647" s="164" t="n"/>
      <c r="E647" s="164" t="n"/>
      <c r="F647" s="164" t="n"/>
      <c r="G647" s="164" t="n"/>
      <c r="H647" s="164" t="n"/>
      <c r="I647" s="166" t="n"/>
      <c r="J647" s="166" t="n"/>
      <c r="K647" s="166" t="n"/>
      <c r="L647" s="168" t="n"/>
      <c r="M647" s="167">
        <f>H647*I647+J647+K647</f>
        <v/>
      </c>
      <c r="N647" s="167">
        <f>M647*L647</f>
        <v/>
      </c>
      <c r="O647" s="167">
        <f>M647+N647</f>
        <v/>
      </c>
      <c r="P647" s="164" t="n"/>
    </row>
    <row r="648">
      <c r="A648" s="173" t="n"/>
      <c r="B648" s="164" t="n"/>
      <c r="C648" s="164" t="n"/>
      <c r="D648" s="164" t="n"/>
      <c r="E648" s="164" t="n"/>
      <c r="F648" s="164" t="n"/>
      <c r="G648" s="164" t="n"/>
      <c r="H648" s="164" t="n"/>
      <c r="I648" s="166" t="n"/>
      <c r="J648" s="166" t="n"/>
      <c r="K648" s="166" t="n"/>
      <c r="L648" s="168" t="n"/>
      <c r="M648" s="167">
        <f>H648*I648+J648+K648</f>
        <v/>
      </c>
      <c r="N648" s="167">
        <f>M648*L648</f>
        <v/>
      </c>
      <c r="O648" s="167">
        <f>M648+N648</f>
        <v/>
      </c>
      <c r="P648" s="164" t="n"/>
    </row>
    <row r="649">
      <c r="A649" s="173" t="n"/>
      <c r="B649" s="164" t="n"/>
      <c r="C649" s="164" t="n"/>
      <c r="D649" s="164" t="n"/>
      <c r="E649" s="164" t="n"/>
      <c r="F649" s="164" t="n"/>
      <c r="G649" s="164" t="n"/>
      <c r="H649" s="164" t="n"/>
      <c r="I649" s="166" t="n"/>
      <c r="J649" s="166" t="n"/>
      <c r="K649" s="166" t="n"/>
      <c r="L649" s="168" t="n"/>
      <c r="M649" s="167">
        <f>H649*I649+J649+K649</f>
        <v/>
      </c>
      <c r="N649" s="167">
        <f>M649*L649</f>
        <v/>
      </c>
      <c r="O649" s="167">
        <f>M649+N649</f>
        <v/>
      </c>
      <c r="P649" s="164" t="n"/>
    </row>
    <row r="650">
      <c r="A650" s="173" t="n"/>
      <c r="B650" s="164" t="n"/>
      <c r="C650" s="164" t="n"/>
      <c r="D650" s="164" t="n"/>
      <c r="E650" s="164" t="n"/>
      <c r="F650" s="164" t="n"/>
      <c r="G650" s="164" t="n"/>
      <c r="H650" s="164" t="n"/>
      <c r="I650" s="166" t="n"/>
      <c r="J650" s="166" t="n"/>
      <c r="K650" s="166" t="n"/>
      <c r="L650" s="168" t="n"/>
      <c r="M650" s="167">
        <f>H650*I650+J650+K650</f>
        <v/>
      </c>
      <c r="N650" s="167">
        <f>M650*L650</f>
        <v/>
      </c>
      <c r="O650" s="167">
        <f>M650+N650</f>
        <v/>
      </c>
      <c r="P650" s="164" t="n"/>
    </row>
    <row r="651">
      <c r="A651" s="173" t="n"/>
      <c r="B651" s="164" t="n"/>
      <c r="C651" s="164" t="n"/>
      <c r="D651" s="164" t="n"/>
      <c r="E651" s="164" t="n"/>
      <c r="F651" s="164" t="n"/>
      <c r="G651" s="164" t="n"/>
      <c r="H651" s="164" t="n"/>
      <c r="I651" s="166" t="n"/>
      <c r="J651" s="166" t="n"/>
      <c r="K651" s="166" t="n"/>
      <c r="L651" s="168" t="n"/>
      <c r="M651" s="167">
        <f>H651*I651+J651+K651</f>
        <v/>
      </c>
      <c r="N651" s="167">
        <f>M651*L651</f>
        <v/>
      </c>
      <c r="O651" s="167">
        <f>M651+N651</f>
        <v/>
      </c>
      <c r="P651" s="164" t="n"/>
    </row>
    <row r="652">
      <c r="A652" s="173" t="n"/>
      <c r="B652" s="164" t="n"/>
      <c r="C652" s="164" t="n"/>
      <c r="D652" s="164" t="n"/>
      <c r="E652" s="164" t="n"/>
      <c r="F652" s="164" t="n"/>
      <c r="G652" s="164" t="n"/>
      <c r="H652" s="164" t="n"/>
      <c r="I652" s="166" t="n"/>
      <c r="J652" s="166" t="n"/>
      <c r="K652" s="166" t="n"/>
      <c r="L652" s="168" t="n"/>
      <c r="M652" s="167">
        <f>H652*I652+J652+K652</f>
        <v/>
      </c>
      <c r="N652" s="167">
        <f>M652*L652</f>
        <v/>
      </c>
      <c r="O652" s="167">
        <f>M652+N652</f>
        <v/>
      </c>
      <c r="P652" s="164" t="n"/>
    </row>
    <row r="653">
      <c r="A653" s="173" t="n"/>
      <c r="B653" s="164" t="n"/>
      <c r="C653" s="164" t="n"/>
      <c r="D653" s="164" t="n"/>
      <c r="E653" s="164" t="n"/>
      <c r="F653" s="164" t="n"/>
      <c r="G653" s="164" t="n"/>
      <c r="H653" s="164" t="n"/>
      <c r="I653" s="166" t="n"/>
      <c r="J653" s="166" t="n"/>
      <c r="K653" s="166" t="n"/>
      <c r="L653" s="168" t="n"/>
      <c r="M653" s="167">
        <f>H653*I653+J653+K653</f>
        <v/>
      </c>
      <c r="N653" s="167">
        <f>M653*L653</f>
        <v/>
      </c>
      <c r="O653" s="167">
        <f>M653+N653</f>
        <v/>
      </c>
      <c r="P653" s="164" t="n"/>
    </row>
    <row r="654">
      <c r="A654" s="173" t="n"/>
      <c r="B654" s="164" t="n"/>
      <c r="C654" s="164" t="n"/>
      <c r="D654" s="164" t="n"/>
      <c r="E654" s="164" t="n"/>
      <c r="F654" s="164" t="n"/>
      <c r="G654" s="164" t="n"/>
      <c r="H654" s="164" t="n"/>
      <c r="I654" s="166" t="n"/>
      <c r="J654" s="166" t="n"/>
      <c r="K654" s="166" t="n"/>
      <c r="L654" s="168" t="n"/>
      <c r="M654" s="167">
        <f>H654*I654+J654+K654</f>
        <v/>
      </c>
      <c r="N654" s="167">
        <f>M654*L654</f>
        <v/>
      </c>
      <c r="O654" s="167">
        <f>M654+N654</f>
        <v/>
      </c>
      <c r="P654" s="164" t="n"/>
    </row>
    <row r="655">
      <c r="A655" s="173" t="n"/>
      <c r="B655" s="164" t="n"/>
      <c r="C655" s="164" t="n"/>
      <c r="D655" s="164" t="n"/>
      <c r="E655" s="164" t="n"/>
      <c r="F655" s="164" t="n"/>
      <c r="G655" s="164" t="n"/>
      <c r="H655" s="164" t="n"/>
      <c r="I655" s="166" t="n"/>
      <c r="J655" s="166" t="n"/>
      <c r="K655" s="166" t="n"/>
      <c r="L655" s="168" t="n"/>
      <c r="M655" s="167">
        <f>H655*I655+J655+K655</f>
        <v/>
      </c>
      <c r="N655" s="167">
        <f>M655*L655</f>
        <v/>
      </c>
      <c r="O655" s="167">
        <f>M655+N655</f>
        <v/>
      </c>
      <c r="P655" s="164" t="n"/>
    </row>
    <row r="656">
      <c r="A656" s="173" t="n"/>
      <c r="B656" s="164" t="n"/>
      <c r="C656" s="164" t="n"/>
      <c r="D656" s="164" t="n"/>
      <c r="E656" s="164" t="n"/>
      <c r="F656" s="164" t="n"/>
      <c r="G656" s="164" t="n"/>
      <c r="H656" s="164" t="n"/>
      <c r="I656" s="166" t="n"/>
      <c r="J656" s="166" t="n"/>
      <c r="K656" s="166" t="n"/>
      <c r="L656" s="168" t="n"/>
      <c r="M656" s="167">
        <f>H656*I656+J656+K656</f>
        <v/>
      </c>
      <c r="N656" s="167">
        <f>M656*L656</f>
        <v/>
      </c>
      <c r="O656" s="167">
        <f>M656+N656</f>
        <v/>
      </c>
      <c r="P656" s="164" t="n"/>
    </row>
    <row r="657">
      <c r="A657" s="173" t="n"/>
      <c r="B657" s="164" t="n"/>
      <c r="C657" s="164" t="n"/>
      <c r="D657" s="164" t="n"/>
      <c r="E657" s="164" t="n"/>
      <c r="F657" s="164" t="n"/>
      <c r="G657" s="164" t="n"/>
      <c r="H657" s="164" t="n"/>
      <c r="I657" s="166" t="n"/>
      <c r="J657" s="166" t="n"/>
      <c r="K657" s="166" t="n"/>
      <c r="L657" s="168" t="n"/>
      <c r="M657" s="167">
        <f>H657*I657+J657+K657</f>
        <v/>
      </c>
      <c r="N657" s="167">
        <f>M657*L657</f>
        <v/>
      </c>
      <c r="O657" s="167">
        <f>M657+N657</f>
        <v/>
      </c>
      <c r="P657" s="164" t="n"/>
    </row>
    <row r="658">
      <c r="A658" s="173" t="n"/>
      <c r="B658" s="164" t="n"/>
      <c r="C658" s="164" t="n"/>
      <c r="D658" s="164" t="n"/>
      <c r="E658" s="164" t="n"/>
      <c r="F658" s="164" t="n"/>
      <c r="G658" s="164" t="n"/>
      <c r="H658" s="164" t="n"/>
      <c r="I658" s="166" t="n"/>
      <c r="J658" s="166" t="n"/>
      <c r="K658" s="166" t="n"/>
      <c r="L658" s="168" t="n"/>
      <c r="M658" s="167">
        <f>H658*I658+J658+K658</f>
        <v/>
      </c>
      <c r="N658" s="167">
        <f>M658*L658</f>
        <v/>
      </c>
      <c r="O658" s="167">
        <f>M658+N658</f>
        <v/>
      </c>
      <c r="P658" s="164" t="n"/>
    </row>
    <row r="659">
      <c r="A659" s="173" t="n"/>
      <c r="B659" s="164" t="n"/>
      <c r="C659" s="164" t="n"/>
      <c r="D659" s="164" t="n"/>
      <c r="E659" s="164" t="n"/>
      <c r="F659" s="164" t="n"/>
      <c r="G659" s="164" t="n"/>
      <c r="H659" s="164" t="n"/>
      <c r="I659" s="166" t="n"/>
      <c r="J659" s="166" t="n"/>
      <c r="K659" s="166" t="n"/>
      <c r="L659" s="168" t="n"/>
      <c r="M659" s="167">
        <f>H659*I659+J659+K659</f>
        <v/>
      </c>
      <c r="N659" s="167">
        <f>M659*L659</f>
        <v/>
      </c>
      <c r="O659" s="167">
        <f>M659+N659</f>
        <v/>
      </c>
      <c r="P659" s="164" t="n"/>
    </row>
    <row r="660">
      <c r="A660" s="173" t="n"/>
      <c r="B660" s="164" t="n"/>
      <c r="C660" s="164" t="n"/>
      <c r="D660" s="164" t="n"/>
      <c r="E660" s="164" t="n"/>
      <c r="F660" s="164" t="n"/>
      <c r="G660" s="164" t="n"/>
      <c r="H660" s="164" t="n"/>
      <c r="I660" s="166" t="n"/>
      <c r="J660" s="166" t="n"/>
      <c r="K660" s="166" t="n"/>
      <c r="L660" s="168" t="n"/>
      <c r="M660" s="167">
        <f>H660*I660+J660+K660</f>
        <v/>
      </c>
      <c r="N660" s="167">
        <f>M660*L660</f>
        <v/>
      </c>
      <c r="O660" s="167">
        <f>M660+N660</f>
        <v/>
      </c>
      <c r="P660" s="164" t="n"/>
    </row>
    <row r="661">
      <c r="A661" s="173" t="n"/>
      <c r="B661" s="164" t="n"/>
      <c r="C661" s="164" t="n"/>
      <c r="D661" s="164" t="n"/>
      <c r="E661" s="164" t="n"/>
      <c r="F661" s="164" t="n"/>
      <c r="G661" s="164" t="n"/>
      <c r="H661" s="164" t="n"/>
      <c r="I661" s="166" t="n"/>
      <c r="J661" s="166" t="n"/>
      <c r="K661" s="166" t="n"/>
      <c r="L661" s="168" t="n"/>
      <c r="M661" s="167">
        <f>H661*I661+J661+K661</f>
        <v/>
      </c>
      <c r="N661" s="167">
        <f>M661*L661</f>
        <v/>
      </c>
      <c r="O661" s="167">
        <f>M661+N661</f>
        <v/>
      </c>
      <c r="P661" s="164" t="n"/>
    </row>
    <row r="662">
      <c r="A662" s="173" t="n"/>
      <c r="B662" s="164" t="n"/>
      <c r="C662" s="164" t="n"/>
      <c r="D662" s="164" t="n"/>
      <c r="E662" s="164" t="n"/>
      <c r="F662" s="164" t="n"/>
      <c r="G662" s="164" t="n"/>
      <c r="H662" s="164" t="n"/>
      <c r="I662" s="166" t="n"/>
      <c r="J662" s="166" t="n"/>
      <c r="K662" s="166" t="n"/>
      <c r="L662" s="168" t="n"/>
      <c r="M662" s="167">
        <f>H662*I662+J662+K662</f>
        <v/>
      </c>
      <c r="N662" s="167">
        <f>M662*L662</f>
        <v/>
      </c>
      <c r="O662" s="167">
        <f>M662+N662</f>
        <v/>
      </c>
      <c r="P662" s="164" t="n"/>
    </row>
    <row r="663">
      <c r="A663" s="173" t="n"/>
      <c r="B663" s="164" t="n"/>
      <c r="C663" s="164" t="n"/>
      <c r="D663" s="164" t="n"/>
      <c r="E663" s="164" t="n"/>
      <c r="F663" s="164" t="n"/>
      <c r="G663" s="164" t="n"/>
      <c r="H663" s="164" t="n"/>
      <c r="I663" s="166" t="n"/>
      <c r="J663" s="166" t="n"/>
      <c r="K663" s="166" t="n"/>
      <c r="L663" s="168" t="n"/>
      <c r="M663" s="167">
        <f>H663*I663+J663+K663</f>
        <v/>
      </c>
      <c r="N663" s="167">
        <f>M663*L663</f>
        <v/>
      </c>
      <c r="O663" s="167">
        <f>M663+N663</f>
        <v/>
      </c>
      <c r="P663" s="164" t="n"/>
    </row>
    <row r="664">
      <c r="A664" s="173" t="n"/>
      <c r="B664" s="164" t="n"/>
      <c r="C664" s="164" t="n"/>
      <c r="D664" s="164" t="n"/>
      <c r="E664" s="164" t="n"/>
      <c r="F664" s="164" t="n"/>
      <c r="G664" s="164" t="n"/>
      <c r="H664" s="164" t="n"/>
      <c r="I664" s="166" t="n"/>
      <c r="J664" s="166" t="n"/>
      <c r="K664" s="166" t="n"/>
      <c r="L664" s="168" t="n"/>
      <c r="M664" s="167">
        <f>H664*I664+J664+K664</f>
        <v/>
      </c>
      <c r="N664" s="167">
        <f>M664*L664</f>
        <v/>
      </c>
      <c r="O664" s="167">
        <f>M664+N664</f>
        <v/>
      </c>
      <c r="P664" s="164" t="n"/>
    </row>
    <row r="665">
      <c r="A665" s="173" t="n"/>
      <c r="B665" s="164" t="n"/>
      <c r="C665" s="164" t="n"/>
      <c r="D665" s="164" t="n"/>
      <c r="E665" s="164" t="n"/>
      <c r="F665" s="164" t="n"/>
      <c r="G665" s="164" t="n"/>
      <c r="H665" s="164" t="n"/>
      <c r="I665" s="166" t="n"/>
      <c r="J665" s="166" t="n"/>
      <c r="K665" s="166" t="n"/>
      <c r="L665" s="168" t="n"/>
      <c r="M665" s="167">
        <f>H665*I665+J665+K665</f>
        <v/>
      </c>
      <c r="N665" s="167">
        <f>M665*L665</f>
        <v/>
      </c>
      <c r="O665" s="167">
        <f>M665+N665</f>
        <v/>
      </c>
      <c r="P665" s="164" t="n"/>
    </row>
    <row r="666">
      <c r="A666" s="173" t="n"/>
      <c r="B666" s="164" t="n"/>
      <c r="C666" s="164" t="n"/>
      <c r="D666" s="164" t="n"/>
      <c r="E666" s="164" t="n"/>
      <c r="F666" s="164" t="n"/>
      <c r="G666" s="164" t="n"/>
      <c r="H666" s="164" t="n"/>
      <c r="I666" s="166" t="n"/>
      <c r="J666" s="166" t="n"/>
      <c r="K666" s="166" t="n"/>
      <c r="L666" s="168" t="n"/>
      <c r="M666" s="167">
        <f>H666*I666+J666+K666</f>
        <v/>
      </c>
      <c r="N666" s="167">
        <f>M666*L666</f>
        <v/>
      </c>
      <c r="O666" s="167">
        <f>M666+N666</f>
        <v/>
      </c>
      <c r="P666" s="164" t="n"/>
    </row>
    <row r="667">
      <c r="A667" s="173" t="n"/>
      <c r="B667" s="164" t="n"/>
      <c r="C667" s="164" t="n"/>
      <c r="D667" s="164" t="n"/>
      <c r="E667" s="164" t="n"/>
      <c r="F667" s="164" t="n"/>
      <c r="G667" s="164" t="n"/>
      <c r="H667" s="164" t="n"/>
      <c r="I667" s="166" t="n"/>
      <c r="J667" s="166" t="n"/>
      <c r="K667" s="166" t="n"/>
      <c r="L667" s="168" t="n"/>
      <c r="M667" s="167">
        <f>H667*I667+J667+K667</f>
        <v/>
      </c>
      <c r="N667" s="167">
        <f>M667*L667</f>
        <v/>
      </c>
      <c r="O667" s="167">
        <f>M667+N667</f>
        <v/>
      </c>
      <c r="P667" s="164" t="n"/>
    </row>
    <row r="668">
      <c r="A668" s="173" t="n"/>
      <c r="B668" s="164" t="n"/>
      <c r="C668" s="164" t="n"/>
      <c r="D668" s="164" t="n"/>
      <c r="E668" s="164" t="n"/>
      <c r="F668" s="164" t="n"/>
      <c r="G668" s="164" t="n"/>
      <c r="H668" s="164" t="n"/>
      <c r="I668" s="166" t="n"/>
      <c r="J668" s="166" t="n"/>
      <c r="K668" s="166" t="n"/>
      <c r="L668" s="168" t="n"/>
      <c r="M668" s="167">
        <f>H668*I668+J668+K668</f>
        <v/>
      </c>
      <c r="N668" s="167">
        <f>M668*L668</f>
        <v/>
      </c>
      <c r="O668" s="167">
        <f>M668+N668</f>
        <v/>
      </c>
      <c r="P668" s="164" t="n"/>
    </row>
    <row r="669">
      <c r="A669" s="173" t="n"/>
      <c r="B669" s="164" t="n"/>
      <c r="C669" s="164" t="n"/>
      <c r="D669" s="164" t="n"/>
      <c r="E669" s="164" t="n"/>
      <c r="F669" s="164" t="n"/>
      <c r="G669" s="164" t="n"/>
      <c r="H669" s="164" t="n"/>
      <c r="I669" s="166" t="n"/>
      <c r="J669" s="166" t="n"/>
      <c r="K669" s="166" t="n"/>
      <c r="L669" s="168" t="n"/>
      <c r="M669" s="167">
        <f>H669*I669+J669+K669</f>
        <v/>
      </c>
      <c r="N669" s="167">
        <f>M669*L669</f>
        <v/>
      </c>
      <c r="O669" s="167">
        <f>M669+N669</f>
        <v/>
      </c>
      <c r="P669" s="164" t="n"/>
    </row>
    <row r="670">
      <c r="A670" s="173" t="n"/>
      <c r="B670" s="164" t="n"/>
      <c r="C670" s="164" t="n"/>
      <c r="D670" s="164" t="n"/>
      <c r="E670" s="164" t="n"/>
      <c r="F670" s="164" t="n"/>
      <c r="G670" s="164" t="n"/>
      <c r="H670" s="164" t="n"/>
      <c r="I670" s="166" t="n"/>
      <c r="J670" s="166" t="n"/>
      <c r="K670" s="166" t="n"/>
      <c r="L670" s="168" t="n"/>
      <c r="M670" s="167">
        <f>H670*I670+J670+K670</f>
        <v/>
      </c>
      <c r="N670" s="167">
        <f>M670*L670</f>
        <v/>
      </c>
      <c r="O670" s="167">
        <f>M670+N670</f>
        <v/>
      </c>
      <c r="P670" s="164" t="n"/>
    </row>
    <row r="671">
      <c r="A671" s="173" t="n"/>
      <c r="B671" s="164" t="n"/>
      <c r="C671" s="164" t="n"/>
      <c r="D671" s="164" t="n"/>
      <c r="E671" s="164" t="n"/>
      <c r="F671" s="164" t="n"/>
      <c r="G671" s="164" t="n"/>
      <c r="H671" s="164" t="n"/>
      <c r="I671" s="166" t="n"/>
      <c r="J671" s="166" t="n"/>
      <c r="K671" s="166" t="n"/>
      <c r="L671" s="168" t="n"/>
      <c r="M671" s="167">
        <f>H671*I671+J671+K671</f>
        <v/>
      </c>
      <c r="N671" s="167">
        <f>M671*L671</f>
        <v/>
      </c>
      <c r="O671" s="167">
        <f>M671+N671</f>
        <v/>
      </c>
      <c r="P671" s="164" t="n"/>
    </row>
    <row r="672">
      <c r="A672" s="173" t="n"/>
      <c r="B672" s="164" t="n"/>
      <c r="C672" s="164" t="n"/>
      <c r="D672" s="164" t="n"/>
      <c r="E672" s="164" t="n"/>
      <c r="F672" s="164" t="n"/>
      <c r="G672" s="164" t="n"/>
      <c r="H672" s="164" t="n"/>
      <c r="I672" s="166" t="n"/>
      <c r="J672" s="166" t="n"/>
      <c r="K672" s="166" t="n"/>
      <c r="L672" s="168" t="n"/>
      <c r="M672" s="167">
        <f>H672*I672+J672+K672</f>
        <v/>
      </c>
      <c r="N672" s="167">
        <f>M672*L672</f>
        <v/>
      </c>
      <c r="O672" s="167">
        <f>M672+N672</f>
        <v/>
      </c>
      <c r="P672" s="164" t="n"/>
    </row>
    <row r="673">
      <c r="A673" s="173" t="n"/>
      <c r="B673" s="164" t="n"/>
      <c r="C673" s="164" t="n"/>
      <c r="D673" s="164" t="n"/>
      <c r="E673" s="164" t="n"/>
      <c r="F673" s="164" t="n"/>
      <c r="G673" s="164" t="n"/>
      <c r="H673" s="164" t="n"/>
      <c r="I673" s="166" t="n"/>
      <c r="J673" s="166" t="n"/>
      <c r="K673" s="166" t="n"/>
      <c r="L673" s="168" t="n"/>
      <c r="M673" s="167">
        <f>H673*I673+J673+K673</f>
        <v/>
      </c>
      <c r="N673" s="167">
        <f>M673*L673</f>
        <v/>
      </c>
      <c r="O673" s="167">
        <f>M673+N673</f>
        <v/>
      </c>
      <c r="P673" s="164" t="n"/>
    </row>
    <row r="674">
      <c r="A674" s="173" t="n"/>
      <c r="B674" s="164" t="n"/>
      <c r="C674" s="164" t="n"/>
      <c r="D674" s="164" t="n"/>
      <c r="E674" s="164" t="n"/>
      <c r="F674" s="164" t="n"/>
      <c r="G674" s="164" t="n"/>
      <c r="H674" s="164" t="n"/>
      <c r="I674" s="166" t="n"/>
      <c r="J674" s="166" t="n"/>
      <c r="K674" s="166" t="n"/>
      <c r="L674" s="168" t="n"/>
      <c r="M674" s="167">
        <f>H674*I674+J674+K674</f>
        <v/>
      </c>
      <c r="N674" s="167">
        <f>M674*L674</f>
        <v/>
      </c>
      <c r="O674" s="167">
        <f>M674+N674</f>
        <v/>
      </c>
      <c r="P674" s="164" t="n"/>
    </row>
    <row r="675">
      <c r="A675" s="173" t="n"/>
      <c r="B675" s="164" t="n"/>
      <c r="C675" s="164" t="n"/>
      <c r="D675" s="164" t="n"/>
      <c r="E675" s="164" t="n"/>
      <c r="F675" s="164" t="n"/>
      <c r="G675" s="164" t="n"/>
      <c r="H675" s="164" t="n"/>
      <c r="I675" s="166" t="n"/>
      <c r="J675" s="166" t="n"/>
      <c r="K675" s="166" t="n"/>
      <c r="L675" s="168" t="n"/>
      <c r="M675" s="167">
        <f>H675*I675+J675+K675</f>
        <v/>
      </c>
      <c r="N675" s="167">
        <f>M675*L675</f>
        <v/>
      </c>
      <c r="O675" s="167">
        <f>M675+N675</f>
        <v/>
      </c>
      <c r="P675" s="164" t="n"/>
    </row>
    <row r="676">
      <c r="A676" s="173" t="n"/>
      <c r="B676" s="164" t="n"/>
      <c r="C676" s="164" t="n"/>
      <c r="D676" s="164" t="n"/>
      <c r="E676" s="164" t="n"/>
      <c r="F676" s="164" t="n"/>
      <c r="G676" s="164" t="n"/>
      <c r="H676" s="164" t="n"/>
      <c r="I676" s="166" t="n"/>
      <c r="J676" s="166" t="n"/>
      <c r="K676" s="166" t="n"/>
      <c r="L676" s="168" t="n"/>
      <c r="M676" s="167">
        <f>H676*I676+J676+K676</f>
        <v/>
      </c>
      <c r="N676" s="167">
        <f>M676*L676</f>
        <v/>
      </c>
      <c r="O676" s="167">
        <f>M676+N676</f>
        <v/>
      </c>
      <c r="P676" s="164" t="n"/>
    </row>
    <row r="677">
      <c r="A677" s="173" t="n"/>
      <c r="B677" s="164" t="n"/>
      <c r="C677" s="164" t="n"/>
      <c r="D677" s="164" t="n"/>
      <c r="E677" s="164" t="n"/>
      <c r="F677" s="164" t="n"/>
      <c r="G677" s="164" t="n"/>
      <c r="H677" s="164" t="n"/>
      <c r="I677" s="166" t="n"/>
      <c r="J677" s="166" t="n"/>
      <c r="K677" s="166" t="n"/>
      <c r="L677" s="168" t="n"/>
      <c r="M677" s="167">
        <f>H677*I677+J677+K677</f>
        <v/>
      </c>
      <c r="N677" s="167">
        <f>M677*L677</f>
        <v/>
      </c>
      <c r="O677" s="167">
        <f>M677+N677</f>
        <v/>
      </c>
      <c r="P677" s="164" t="n"/>
    </row>
    <row r="678">
      <c r="A678" s="173" t="n"/>
      <c r="B678" s="164" t="n"/>
      <c r="C678" s="164" t="n"/>
      <c r="D678" s="164" t="n"/>
      <c r="E678" s="164" t="n"/>
      <c r="F678" s="164" t="n"/>
      <c r="G678" s="164" t="n"/>
      <c r="H678" s="164" t="n"/>
      <c r="I678" s="166" t="n"/>
      <c r="J678" s="166" t="n"/>
      <c r="K678" s="166" t="n"/>
      <c r="L678" s="168" t="n"/>
      <c r="M678" s="167">
        <f>H678*I678+J678+K678</f>
        <v/>
      </c>
      <c r="N678" s="167">
        <f>M678*L678</f>
        <v/>
      </c>
      <c r="O678" s="167">
        <f>M678+N678</f>
        <v/>
      </c>
      <c r="P678" s="164" t="n"/>
    </row>
    <row r="679">
      <c r="A679" s="173" t="n"/>
      <c r="B679" s="164" t="n"/>
      <c r="C679" s="164" t="n"/>
      <c r="D679" s="164" t="n"/>
      <c r="E679" s="164" t="n"/>
      <c r="F679" s="164" t="n"/>
      <c r="G679" s="164" t="n"/>
      <c r="H679" s="164" t="n"/>
      <c r="I679" s="166" t="n"/>
      <c r="J679" s="166" t="n"/>
      <c r="K679" s="166" t="n"/>
      <c r="L679" s="168" t="n"/>
      <c r="M679" s="167">
        <f>H679*I679+J679+K679</f>
        <v/>
      </c>
      <c r="N679" s="167">
        <f>M679*L679</f>
        <v/>
      </c>
      <c r="O679" s="167">
        <f>M679+N679</f>
        <v/>
      </c>
      <c r="P679" s="164" t="n"/>
    </row>
    <row r="680">
      <c r="A680" s="173" t="n"/>
      <c r="B680" s="164" t="n"/>
      <c r="C680" s="164" t="n"/>
      <c r="D680" s="164" t="n"/>
      <c r="E680" s="164" t="n"/>
      <c r="F680" s="164" t="n"/>
      <c r="G680" s="164" t="n"/>
      <c r="H680" s="164" t="n"/>
      <c r="I680" s="166" t="n"/>
      <c r="J680" s="166" t="n"/>
      <c r="K680" s="166" t="n"/>
      <c r="L680" s="168" t="n"/>
      <c r="M680" s="167">
        <f>H680*I680+J680+K680</f>
        <v/>
      </c>
      <c r="N680" s="167">
        <f>M680*L680</f>
        <v/>
      </c>
      <c r="O680" s="167">
        <f>M680+N680</f>
        <v/>
      </c>
      <c r="P680" s="164" t="n"/>
    </row>
    <row r="681">
      <c r="A681" s="173" t="n"/>
      <c r="B681" s="164" t="n"/>
      <c r="C681" s="164" t="n"/>
      <c r="D681" s="164" t="n"/>
      <c r="E681" s="164" t="n"/>
      <c r="F681" s="164" t="n"/>
      <c r="G681" s="164" t="n"/>
      <c r="H681" s="164" t="n"/>
      <c r="I681" s="166" t="n"/>
      <c r="J681" s="166" t="n"/>
      <c r="K681" s="166" t="n"/>
      <c r="L681" s="168" t="n"/>
      <c r="M681" s="167">
        <f>H681*I681+J681+K681</f>
        <v/>
      </c>
      <c r="N681" s="167">
        <f>M681*L681</f>
        <v/>
      </c>
      <c r="O681" s="167">
        <f>M681+N681</f>
        <v/>
      </c>
      <c r="P681" s="164" t="n"/>
    </row>
    <row r="682">
      <c r="A682" s="173" t="n"/>
      <c r="B682" s="164" t="n"/>
      <c r="C682" s="164" t="n"/>
      <c r="D682" s="164" t="n"/>
      <c r="E682" s="164" t="n"/>
      <c r="F682" s="164" t="n"/>
      <c r="G682" s="164" t="n"/>
      <c r="H682" s="164" t="n"/>
      <c r="I682" s="166" t="n"/>
      <c r="J682" s="166" t="n"/>
      <c r="K682" s="166" t="n"/>
      <c r="L682" s="168" t="n"/>
      <c r="M682" s="167">
        <f>H682*I682+J682+K682</f>
        <v/>
      </c>
      <c r="N682" s="167">
        <f>M682*L682</f>
        <v/>
      </c>
      <c r="O682" s="167">
        <f>M682+N682</f>
        <v/>
      </c>
      <c r="P682" s="164" t="n"/>
    </row>
    <row r="683">
      <c r="A683" s="173" t="n"/>
      <c r="B683" s="164" t="n"/>
      <c r="C683" s="164" t="n"/>
      <c r="D683" s="164" t="n"/>
      <c r="E683" s="164" t="n"/>
      <c r="F683" s="164" t="n"/>
      <c r="G683" s="164" t="n"/>
      <c r="H683" s="164" t="n"/>
      <c r="I683" s="166" t="n"/>
      <c r="J683" s="166" t="n"/>
      <c r="K683" s="166" t="n"/>
      <c r="L683" s="168" t="n"/>
      <c r="M683" s="167">
        <f>H683*I683+J683+K683</f>
        <v/>
      </c>
      <c r="N683" s="167">
        <f>M683*L683</f>
        <v/>
      </c>
      <c r="O683" s="167">
        <f>M683+N683</f>
        <v/>
      </c>
      <c r="P683" s="164" t="n"/>
    </row>
    <row r="684">
      <c r="A684" s="173" t="n"/>
      <c r="B684" s="164" t="n"/>
      <c r="C684" s="164" t="n"/>
      <c r="D684" s="164" t="n"/>
      <c r="E684" s="164" t="n"/>
      <c r="F684" s="164" t="n"/>
      <c r="G684" s="164" t="n"/>
      <c r="H684" s="164" t="n"/>
      <c r="I684" s="166" t="n"/>
      <c r="J684" s="166" t="n"/>
      <c r="K684" s="166" t="n"/>
      <c r="L684" s="168" t="n"/>
      <c r="M684" s="167">
        <f>H684*I684+J684+K684</f>
        <v/>
      </c>
      <c r="N684" s="167">
        <f>M684*L684</f>
        <v/>
      </c>
      <c r="O684" s="167">
        <f>M684+N684</f>
        <v/>
      </c>
      <c r="P684" s="164" t="n"/>
    </row>
    <row r="685">
      <c r="A685" s="173" t="n"/>
      <c r="B685" s="164" t="n"/>
      <c r="C685" s="164" t="n"/>
      <c r="D685" s="164" t="n"/>
      <c r="E685" s="164" t="n"/>
      <c r="F685" s="164" t="n"/>
      <c r="G685" s="164" t="n"/>
      <c r="H685" s="164" t="n"/>
      <c r="I685" s="166" t="n"/>
      <c r="J685" s="166" t="n"/>
      <c r="K685" s="166" t="n"/>
      <c r="L685" s="168" t="n"/>
      <c r="M685" s="167">
        <f>H685*I685+J685+K685</f>
        <v/>
      </c>
      <c r="N685" s="167">
        <f>M685*L685</f>
        <v/>
      </c>
      <c r="O685" s="167">
        <f>M685+N685</f>
        <v/>
      </c>
      <c r="P685" s="164" t="n"/>
    </row>
    <row r="686">
      <c r="A686" s="173" t="n"/>
      <c r="B686" s="164" t="n"/>
      <c r="C686" s="164" t="n"/>
      <c r="D686" s="164" t="n"/>
      <c r="E686" s="164" t="n"/>
      <c r="F686" s="164" t="n"/>
      <c r="G686" s="164" t="n"/>
      <c r="H686" s="164" t="n"/>
      <c r="I686" s="166" t="n"/>
      <c r="J686" s="166" t="n"/>
      <c r="K686" s="166" t="n"/>
      <c r="L686" s="168" t="n"/>
      <c r="M686" s="167">
        <f>H686*I686+J686+K686</f>
        <v/>
      </c>
      <c r="N686" s="167">
        <f>M686*L686</f>
        <v/>
      </c>
      <c r="O686" s="167">
        <f>M686+N686</f>
        <v/>
      </c>
      <c r="P686" s="164" t="n"/>
    </row>
    <row r="687">
      <c r="A687" s="173" t="n"/>
      <c r="B687" s="164" t="n"/>
      <c r="C687" s="164" t="n"/>
      <c r="D687" s="164" t="n"/>
      <c r="E687" s="164" t="n"/>
      <c r="F687" s="164" t="n"/>
      <c r="G687" s="164" t="n"/>
      <c r="H687" s="164" t="n"/>
      <c r="I687" s="166" t="n"/>
      <c r="J687" s="166" t="n"/>
      <c r="K687" s="166" t="n"/>
      <c r="L687" s="168" t="n"/>
      <c r="M687" s="167">
        <f>H687*I687+J687+K687</f>
        <v/>
      </c>
      <c r="N687" s="167">
        <f>M687*L687</f>
        <v/>
      </c>
      <c r="O687" s="167">
        <f>M687+N687</f>
        <v/>
      </c>
      <c r="P687" s="164" t="n"/>
    </row>
    <row r="688">
      <c r="A688" s="173" t="n"/>
      <c r="B688" s="164" t="n"/>
      <c r="C688" s="164" t="n"/>
      <c r="D688" s="164" t="n"/>
      <c r="E688" s="164" t="n"/>
      <c r="F688" s="164" t="n"/>
      <c r="G688" s="164" t="n"/>
      <c r="H688" s="164" t="n"/>
      <c r="I688" s="166" t="n"/>
      <c r="J688" s="166" t="n"/>
      <c r="K688" s="166" t="n"/>
      <c r="L688" s="168" t="n"/>
      <c r="M688" s="167">
        <f>H688*I688+J688+K688</f>
        <v/>
      </c>
      <c r="N688" s="167">
        <f>M688*L688</f>
        <v/>
      </c>
      <c r="O688" s="167">
        <f>M688+N688</f>
        <v/>
      </c>
      <c r="P688" s="164" t="n"/>
    </row>
    <row r="689">
      <c r="A689" s="173" t="n"/>
      <c r="B689" s="164" t="n"/>
      <c r="C689" s="164" t="n"/>
      <c r="D689" s="164" t="n"/>
      <c r="E689" s="164" t="n"/>
      <c r="F689" s="164" t="n"/>
      <c r="G689" s="164" t="n"/>
      <c r="H689" s="164" t="n"/>
      <c r="I689" s="166" t="n"/>
      <c r="J689" s="166" t="n"/>
      <c r="K689" s="166" t="n"/>
      <c r="L689" s="168" t="n"/>
      <c r="M689" s="167">
        <f>H689*I689+J689+K689</f>
        <v/>
      </c>
      <c r="N689" s="167">
        <f>M689*L689</f>
        <v/>
      </c>
      <c r="O689" s="167">
        <f>M689+N689</f>
        <v/>
      </c>
      <c r="P689" s="164" t="n"/>
    </row>
    <row r="690">
      <c r="A690" s="173" t="n"/>
      <c r="B690" s="164" t="n"/>
      <c r="C690" s="164" t="n"/>
      <c r="D690" s="164" t="n"/>
      <c r="E690" s="164" t="n"/>
      <c r="F690" s="164" t="n"/>
      <c r="G690" s="164" t="n"/>
      <c r="H690" s="164" t="n"/>
      <c r="I690" s="166" t="n"/>
      <c r="J690" s="166" t="n"/>
      <c r="K690" s="166" t="n"/>
      <c r="L690" s="168" t="n"/>
      <c r="M690" s="167">
        <f>H690*I690+J690+K690</f>
        <v/>
      </c>
      <c r="N690" s="167">
        <f>M690*L690</f>
        <v/>
      </c>
      <c r="O690" s="167">
        <f>M690+N690</f>
        <v/>
      </c>
      <c r="P690" s="164" t="n"/>
    </row>
    <row r="691">
      <c r="A691" s="173" t="n"/>
      <c r="B691" s="164" t="n"/>
      <c r="C691" s="164" t="n"/>
      <c r="D691" s="164" t="n"/>
      <c r="E691" s="164" t="n"/>
      <c r="F691" s="164" t="n"/>
      <c r="G691" s="164" t="n"/>
      <c r="H691" s="164" t="n"/>
      <c r="I691" s="166" t="n"/>
      <c r="J691" s="166" t="n"/>
      <c r="K691" s="166" t="n"/>
      <c r="L691" s="168" t="n"/>
      <c r="M691" s="167">
        <f>H691*I691+J691+K691</f>
        <v/>
      </c>
      <c r="N691" s="167">
        <f>M691*L691</f>
        <v/>
      </c>
      <c r="O691" s="167">
        <f>M691+N691</f>
        <v/>
      </c>
      <c r="P691" s="164" t="n"/>
    </row>
    <row r="692">
      <c r="A692" s="173" t="n"/>
      <c r="B692" s="164" t="n"/>
      <c r="C692" s="164" t="n"/>
      <c r="D692" s="164" t="n"/>
      <c r="E692" s="164" t="n"/>
      <c r="F692" s="164" t="n"/>
      <c r="G692" s="164" t="n"/>
      <c r="H692" s="164" t="n"/>
      <c r="I692" s="166" t="n"/>
      <c r="J692" s="166" t="n"/>
      <c r="K692" s="166" t="n"/>
      <c r="L692" s="168" t="n"/>
      <c r="M692" s="167">
        <f>H692*I692+J692+K692</f>
        <v/>
      </c>
      <c r="N692" s="167">
        <f>M692*L692</f>
        <v/>
      </c>
      <c r="O692" s="167">
        <f>M692+N692</f>
        <v/>
      </c>
      <c r="P692" s="164" t="n"/>
    </row>
    <row r="693">
      <c r="A693" s="173" t="n"/>
      <c r="B693" s="164" t="n"/>
      <c r="C693" s="164" t="n"/>
      <c r="D693" s="164" t="n"/>
      <c r="E693" s="164" t="n"/>
      <c r="F693" s="164" t="n"/>
      <c r="G693" s="164" t="n"/>
      <c r="H693" s="164" t="n"/>
      <c r="I693" s="166" t="n"/>
      <c r="J693" s="166" t="n"/>
      <c r="K693" s="166" t="n"/>
      <c r="L693" s="168" t="n"/>
      <c r="M693" s="167">
        <f>H693*I693+J693+K693</f>
        <v/>
      </c>
      <c r="N693" s="167">
        <f>M693*L693</f>
        <v/>
      </c>
      <c r="O693" s="167">
        <f>M693+N693</f>
        <v/>
      </c>
      <c r="P693" s="164" t="n"/>
    </row>
    <row r="694">
      <c r="A694" s="173" t="n"/>
      <c r="B694" s="164" t="n"/>
      <c r="C694" s="164" t="n"/>
      <c r="D694" s="164" t="n"/>
      <c r="E694" s="164" t="n"/>
      <c r="F694" s="164" t="n"/>
      <c r="G694" s="164" t="n"/>
      <c r="H694" s="164" t="n"/>
      <c r="I694" s="166" t="n"/>
      <c r="J694" s="166" t="n"/>
      <c r="K694" s="166" t="n"/>
      <c r="L694" s="168" t="n"/>
      <c r="M694" s="167">
        <f>H694*I694+J694+K694</f>
        <v/>
      </c>
      <c r="N694" s="167">
        <f>M694*L694</f>
        <v/>
      </c>
      <c r="O694" s="167">
        <f>M694+N694</f>
        <v/>
      </c>
      <c r="P694" s="164" t="n"/>
    </row>
    <row r="695">
      <c r="A695" s="173" t="n"/>
      <c r="B695" s="164" t="n"/>
      <c r="C695" s="164" t="n"/>
      <c r="D695" s="164" t="n"/>
      <c r="E695" s="164" t="n"/>
      <c r="F695" s="164" t="n"/>
      <c r="G695" s="164" t="n"/>
      <c r="H695" s="164" t="n"/>
      <c r="I695" s="166" t="n"/>
      <c r="J695" s="166" t="n"/>
      <c r="K695" s="166" t="n"/>
      <c r="L695" s="168" t="n"/>
      <c r="M695" s="167">
        <f>H695*I695+J695+K695</f>
        <v/>
      </c>
      <c r="N695" s="167">
        <f>M695*L695</f>
        <v/>
      </c>
      <c r="O695" s="167">
        <f>M695+N695</f>
        <v/>
      </c>
      <c r="P695" s="164" t="n"/>
    </row>
    <row r="696">
      <c r="A696" s="173" t="n"/>
      <c r="B696" s="164" t="n"/>
      <c r="C696" s="164" t="n"/>
      <c r="D696" s="164" t="n"/>
      <c r="E696" s="164" t="n"/>
      <c r="F696" s="164" t="n"/>
      <c r="G696" s="164" t="n"/>
      <c r="H696" s="164" t="n"/>
      <c r="I696" s="166" t="n"/>
      <c r="J696" s="166" t="n"/>
      <c r="K696" s="166" t="n"/>
      <c r="L696" s="168" t="n"/>
      <c r="M696" s="167">
        <f>H696*I696+J696+K696</f>
        <v/>
      </c>
      <c r="N696" s="167">
        <f>M696*L696</f>
        <v/>
      </c>
      <c r="O696" s="167">
        <f>M696+N696</f>
        <v/>
      </c>
      <c r="P696" s="164" t="n"/>
    </row>
    <row r="697">
      <c r="A697" s="173" t="n"/>
      <c r="B697" s="164" t="n"/>
      <c r="C697" s="164" t="n"/>
      <c r="D697" s="164" t="n"/>
      <c r="E697" s="164" t="n"/>
      <c r="F697" s="164" t="n"/>
      <c r="G697" s="164" t="n"/>
      <c r="H697" s="164" t="n"/>
      <c r="I697" s="166" t="n"/>
      <c r="J697" s="166" t="n"/>
      <c r="K697" s="166" t="n"/>
      <c r="L697" s="168" t="n"/>
      <c r="M697" s="167">
        <f>H697*I697+J697+K697</f>
        <v/>
      </c>
      <c r="N697" s="167">
        <f>M697*L697</f>
        <v/>
      </c>
      <c r="O697" s="167">
        <f>M697+N697</f>
        <v/>
      </c>
      <c r="P697" s="164" t="n"/>
    </row>
    <row r="698">
      <c r="A698" s="173" t="n"/>
      <c r="B698" s="164" t="n"/>
      <c r="C698" s="164" t="n"/>
      <c r="D698" s="164" t="n"/>
      <c r="E698" s="164" t="n"/>
      <c r="F698" s="164" t="n"/>
      <c r="G698" s="164" t="n"/>
      <c r="H698" s="164" t="n"/>
      <c r="I698" s="166" t="n"/>
      <c r="J698" s="166" t="n"/>
      <c r="K698" s="166" t="n"/>
      <c r="L698" s="168" t="n"/>
      <c r="M698" s="167">
        <f>H698*I698+J698+K698</f>
        <v/>
      </c>
      <c r="N698" s="167">
        <f>M698*L698</f>
        <v/>
      </c>
      <c r="O698" s="167">
        <f>M698+N698</f>
        <v/>
      </c>
      <c r="P698" s="164" t="n"/>
    </row>
    <row r="699">
      <c r="A699" s="173" t="n"/>
      <c r="B699" s="164" t="n"/>
      <c r="C699" s="164" t="n"/>
      <c r="D699" s="164" t="n"/>
      <c r="E699" s="164" t="n"/>
      <c r="F699" s="164" t="n"/>
      <c r="G699" s="164" t="n"/>
      <c r="H699" s="164" t="n"/>
      <c r="I699" s="166" t="n"/>
      <c r="J699" s="166" t="n"/>
      <c r="K699" s="166" t="n"/>
      <c r="L699" s="168" t="n"/>
      <c r="M699" s="167">
        <f>H699*I699+J699+K699</f>
        <v/>
      </c>
      <c r="N699" s="167">
        <f>M699*L699</f>
        <v/>
      </c>
      <c r="O699" s="167">
        <f>M699+N699</f>
        <v/>
      </c>
      <c r="P699" s="164" t="n"/>
    </row>
    <row r="700">
      <c r="A700" s="173" t="n"/>
      <c r="B700" s="164" t="n"/>
      <c r="C700" s="164" t="n"/>
      <c r="D700" s="164" t="n"/>
      <c r="E700" s="164" t="n"/>
      <c r="F700" s="164" t="n"/>
      <c r="G700" s="164" t="n"/>
      <c r="H700" s="164" t="n"/>
      <c r="I700" s="166" t="n"/>
      <c r="J700" s="166" t="n"/>
      <c r="K700" s="166" t="n"/>
      <c r="L700" s="168" t="n"/>
      <c r="M700" s="167">
        <f>H700*I700+J700+K700</f>
        <v/>
      </c>
      <c r="N700" s="167">
        <f>M700*L700</f>
        <v/>
      </c>
      <c r="O700" s="167">
        <f>M700+N700</f>
        <v/>
      </c>
      <c r="P700" s="164" t="n"/>
    </row>
    <row r="701">
      <c r="A701" s="173" t="n"/>
      <c r="B701" s="164" t="n"/>
      <c r="C701" s="164" t="n"/>
      <c r="D701" s="164" t="n"/>
      <c r="E701" s="164" t="n"/>
      <c r="F701" s="164" t="n"/>
      <c r="G701" s="164" t="n"/>
      <c r="H701" s="164" t="n"/>
      <c r="I701" s="166" t="n"/>
      <c r="J701" s="166" t="n"/>
      <c r="K701" s="166" t="n"/>
      <c r="L701" s="168" t="n"/>
      <c r="M701" s="167">
        <f>H701*I701+J701+K701</f>
        <v/>
      </c>
      <c r="N701" s="167">
        <f>M701*L701</f>
        <v/>
      </c>
      <c r="O701" s="167">
        <f>M701+N701</f>
        <v/>
      </c>
      <c r="P701" s="164" t="n"/>
    </row>
    <row r="702">
      <c r="A702" s="173" t="n"/>
      <c r="B702" s="164" t="n"/>
      <c r="C702" s="164" t="n"/>
      <c r="D702" s="164" t="n"/>
      <c r="E702" s="164" t="n"/>
      <c r="F702" s="164" t="n"/>
      <c r="G702" s="164" t="n"/>
      <c r="H702" s="164" t="n"/>
      <c r="I702" s="166" t="n"/>
      <c r="J702" s="166" t="n"/>
      <c r="K702" s="166" t="n"/>
      <c r="L702" s="168" t="n"/>
      <c r="M702" s="167">
        <f>H702*I702+J702+K702</f>
        <v/>
      </c>
      <c r="N702" s="167">
        <f>M702*L702</f>
        <v/>
      </c>
      <c r="O702" s="167">
        <f>M702+N702</f>
        <v/>
      </c>
      <c r="P702" s="164" t="n"/>
    </row>
    <row r="703">
      <c r="A703" s="173" t="n"/>
      <c r="B703" s="164" t="n"/>
      <c r="C703" s="164" t="n"/>
      <c r="D703" s="164" t="n"/>
      <c r="E703" s="164" t="n"/>
      <c r="F703" s="164" t="n"/>
      <c r="G703" s="164" t="n"/>
      <c r="H703" s="164" t="n"/>
      <c r="I703" s="166" t="n"/>
      <c r="J703" s="166" t="n"/>
      <c r="K703" s="166" t="n"/>
      <c r="L703" s="168" t="n"/>
      <c r="M703" s="167">
        <f>H703*I703+J703+K703</f>
        <v/>
      </c>
      <c r="N703" s="167">
        <f>M703*L703</f>
        <v/>
      </c>
      <c r="O703" s="167">
        <f>M703+N703</f>
        <v/>
      </c>
      <c r="P703" s="164" t="n"/>
    </row>
    <row r="704">
      <c r="A704" s="173" t="n"/>
      <c r="B704" s="164" t="n"/>
      <c r="C704" s="164" t="n"/>
      <c r="D704" s="164" t="n"/>
      <c r="E704" s="164" t="n"/>
      <c r="F704" s="164" t="n"/>
      <c r="G704" s="164" t="n"/>
      <c r="H704" s="164" t="n"/>
      <c r="I704" s="166" t="n"/>
      <c r="J704" s="166" t="n"/>
      <c r="K704" s="166" t="n"/>
      <c r="L704" s="168" t="n"/>
      <c r="M704" s="167">
        <f>H704*I704+J704+K704</f>
        <v/>
      </c>
      <c r="N704" s="167">
        <f>M704*L704</f>
        <v/>
      </c>
      <c r="O704" s="167">
        <f>M704+N704</f>
        <v/>
      </c>
      <c r="P704" s="164" t="n"/>
    </row>
    <row r="705">
      <c r="A705" s="173" t="n"/>
      <c r="B705" s="164" t="n"/>
      <c r="C705" s="164" t="n"/>
      <c r="D705" s="164" t="n"/>
      <c r="E705" s="164" t="n"/>
      <c r="F705" s="164" t="n"/>
      <c r="G705" s="164" t="n"/>
      <c r="H705" s="164" t="n"/>
      <c r="I705" s="166" t="n"/>
      <c r="J705" s="166" t="n"/>
      <c r="K705" s="166" t="n"/>
      <c r="L705" s="168" t="n"/>
      <c r="M705" s="167">
        <f>H705*I705+J705+K705</f>
        <v/>
      </c>
      <c r="N705" s="167">
        <f>M705*L705</f>
        <v/>
      </c>
      <c r="O705" s="167">
        <f>M705+N705</f>
        <v/>
      </c>
      <c r="P705" s="164" t="n"/>
    </row>
    <row r="706">
      <c r="A706" s="173" t="n"/>
      <c r="B706" s="164" t="n"/>
      <c r="C706" s="164" t="n"/>
      <c r="D706" s="164" t="n"/>
      <c r="E706" s="164" t="n"/>
      <c r="F706" s="164" t="n"/>
      <c r="G706" s="164" t="n"/>
      <c r="H706" s="164" t="n"/>
      <c r="I706" s="166" t="n"/>
      <c r="J706" s="166" t="n"/>
      <c r="K706" s="166" t="n"/>
      <c r="L706" s="168" t="n"/>
      <c r="M706" s="167">
        <f>H706*I706+J706+K706</f>
        <v/>
      </c>
      <c r="N706" s="167">
        <f>M706*L706</f>
        <v/>
      </c>
      <c r="O706" s="167">
        <f>M706+N706</f>
        <v/>
      </c>
      <c r="P706" s="164" t="n"/>
    </row>
    <row r="707">
      <c r="A707" s="173" t="n"/>
      <c r="B707" s="164" t="n"/>
      <c r="C707" s="164" t="n"/>
      <c r="D707" s="164" t="n"/>
      <c r="E707" s="164" t="n"/>
      <c r="F707" s="164" t="n"/>
      <c r="G707" s="164" t="n"/>
      <c r="H707" s="164" t="n"/>
      <c r="I707" s="166" t="n"/>
      <c r="J707" s="166" t="n"/>
      <c r="K707" s="166" t="n"/>
      <c r="L707" s="168" t="n"/>
      <c r="M707" s="167">
        <f>H707*I707+J707+K707</f>
        <v/>
      </c>
      <c r="N707" s="167">
        <f>M707*L707</f>
        <v/>
      </c>
      <c r="O707" s="167">
        <f>M707+N707</f>
        <v/>
      </c>
      <c r="P707" s="164" t="n"/>
    </row>
    <row r="708">
      <c r="A708" s="173" t="n"/>
      <c r="B708" s="164" t="n"/>
      <c r="C708" s="164" t="n"/>
      <c r="D708" s="164" t="n"/>
      <c r="E708" s="164" t="n"/>
      <c r="F708" s="164" t="n"/>
      <c r="G708" s="164" t="n"/>
      <c r="H708" s="164" t="n"/>
      <c r="I708" s="166" t="n"/>
      <c r="J708" s="166" t="n"/>
      <c r="K708" s="166" t="n"/>
      <c r="L708" s="168" t="n"/>
      <c r="M708" s="167">
        <f>H708*I708+J708+K708</f>
        <v/>
      </c>
      <c r="N708" s="167">
        <f>M708*L708</f>
        <v/>
      </c>
      <c r="O708" s="167">
        <f>M708+N708</f>
        <v/>
      </c>
      <c r="P708" s="164" t="n"/>
    </row>
    <row r="709">
      <c r="A709" s="173" t="n"/>
      <c r="B709" s="164" t="n"/>
      <c r="C709" s="164" t="n"/>
      <c r="D709" s="164" t="n"/>
      <c r="E709" s="164" t="n"/>
      <c r="F709" s="164" t="n"/>
      <c r="G709" s="164" t="n"/>
      <c r="H709" s="164" t="n"/>
      <c r="I709" s="166" t="n"/>
      <c r="J709" s="166" t="n"/>
      <c r="K709" s="166" t="n"/>
      <c r="L709" s="168" t="n"/>
      <c r="M709" s="167">
        <f>H709*I709+J709+K709</f>
        <v/>
      </c>
      <c r="N709" s="167">
        <f>M709*L709</f>
        <v/>
      </c>
      <c r="O709" s="167">
        <f>M709+N709</f>
        <v/>
      </c>
      <c r="P709" s="164" t="n"/>
    </row>
    <row r="710">
      <c r="A710" s="173" t="n"/>
      <c r="B710" s="164" t="n"/>
      <c r="C710" s="164" t="n"/>
      <c r="D710" s="164" t="n"/>
      <c r="E710" s="164" t="n"/>
      <c r="F710" s="164" t="n"/>
      <c r="G710" s="164" t="n"/>
      <c r="H710" s="164" t="n"/>
      <c r="I710" s="166" t="n"/>
      <c r="J710" s="166" t="n"/>
      <c r="K710" s="166" t="n"/>
      <c r="L710" s="168" t="n"/>
      <c r="M710" s="167">
        <f>H710*I710+J710+K710</f>
        <v/>
      </c>
      <c r="N710" s="167">
        <f>M710*L710</f>
        <v/>
      </c>
      <c r="O710" s="167">
        <f>M710+N710</f>
        <v/>
      </c>
      <c r="P710" s="164" t="n"/>
    </row>
    <row r="711">
      <c r="A711" s="173" t="n"/>
      <c r="B711" s="164" t="n"/>
      <c r="C711" s="164" t="n"/>
      <c r="D711" s="164" t="n"/>
      <c r="E711" s="164" t="n"/>
      <c r="F711" s="164" t="n"/>
      <c r="G711" s="164" t="n"/>
      <c r="H711" s="164" t="n"/>
      <c r="I711" s="166" t="n"/>
      <c r="J711" s="166" t="n"/>
      <c r="K711" s="166" t="n"/>
      <c r="L711" s="168" t="n"/>
      <c r="M711" s="167">
        <f>H711*I711+J711+K711</f>
        <v/>
      </c>
      <c r="N711" s="167">
        <f>M711*L711</f>
        <v/>
      </c>
      <c r="O711" s="167">
        <f>M711+N711</f>
        <v/>
      </c>
      <c r="P711" s="164" t="n"/>
    </row>
    <row r="712">
      <c r="A712" s="173" t="n"/>
      <c r="B712" s="164" t="n"/>
      <c r="C712" s="164" t="n"/>
      <c r="D712" s="164" t="n"/>
      <c r="E712" s="164" t="n"/>
      <c r="F712" s="164" t="n"/>
      <c r="G712" s="164" t="n"/>
      <c r="H712" s="164" t="n"/>
      <c r="I712" s="166" t="n"/>
      <c r="J712" s="166" t="n"/>
      <c r="K712" s="166" t="n"/>
      <c r="L712" s="168" t="n"/>
      <c r="M712" s="167">
        <f>H712*I712+J712+K712</f>
        <v/>
      </c>
      <c r="N712" s="167">
        <f>M712*L712</f>
        <v/>
      </c>
      <c r="O712" s="167">
        <f>M712+N712</f>
        <v/>
      </c>
      <c r="P712" s="164" t="n"/>
    </row>
    <row r="713">
      <c r="A713" s="173" t="n"/>
      <c r="B713" s="164" t="n"/>
      <c r="C713" s="164" t="n"/>
      <c r="D713" s="164" t="n"/>
      <c r="E713" s="164" t="n"/>
      <c r="F713" s="164" t="n"/>
      <c r="G713" s="164" t="n"/>
      <c r="H713" s="164" t="n"/>
      <c r="I713" s="166" t="n"/>
      <c r="J713" s="166" t="n"/>
      <c r="K713" s="166" t="n"/>
      <c r="L713" s="168" t="n"/>
      <c r="M713" s="167">
        <f>H713*I713+J713+K713</f>
        <v/>
      </c>
      <c r="N713" s="167">
        <f>M713*L713</f>
        <v/>
      </c>
      <c r="O713" s="167">
        <f>M713+N713</f>
        <v/>
      </c>
      <c r="P713" s="164" t="n"/>
    </row>
    <row r="714">
      <c r="A714" s="173" t="n"/>
      <c r="B714" s="164" t="n"/>
      <c r="C714" s="164" t="n"/>
      <c r="D714" s="164" t="n"/>
      <c r="E714" s="164" t="n"/>
      <c r="F714" s="164" t="n"/>
      <c r="G714" s="164" t="n"/>
      <c r="H714" s="164" t="n"/>
      <c r="I714" s="166" t="n"/>
      <c r="J714" s="166" t="n"/>
      <c r="K714" s="166" t="n"/>
      <c r="L714" s="168" t="n"/>
      <c r="M714" s="167">
        <f>H714*I714+J714+K714</f>
        <v/>
      </c>
      <c r="N714" s="167">
        <f>M714*L714</f>
        <v/>
      </c>
      <c r="O714" s="167">
        <f>M714+N714</f>
        <v/>
      </c>
      <c r="P714" s="164" t="n"/>
    </row>
    <row r="715">
      <c r="A715" s="173" t="n"/>
      <c r="B715" s="164" t="n"/>
      <c r="C715" s="164" t="n"/>
      <c r="D715" s="164" t="n"/>
      <c r="E715" s="164" t="n"/>
      <c r="F715" s="164" t="n"/>
      <c r="G715" s="164" t="n"/>
      <c r="H715" s="164" t="n"/>
      <c r="I715" s="166" t="n"/>
      <c r="J715" s="166" t="n"/>
      <c r="K715" s="166" t="n"/>
      <c r="L715" s="168" t="n"/>
      <c r="M715" s="167">
        <f>H715*I715+J715+K715</f>
        <v/>
      </c>
      <c r="N715" s="167">
        <f>M715*L715</f>
        <v/>
      </c>
      <c r="O715" s="167">
        <f>M715+N715</f>
        <v/>
      </c>
      <c r="P715" s="164" t="n"/>
    </row>
    <row r="716">
      <c r="A716" s="173" t="n"/>
      <c r="B716" s="164" t="n"/>
      <c r="C716" s="164" t="n"/>
      <c r="D716" s="164" t="n"/>
      <c r="E716" s="164" t="n"/>
      <c r="F716" s="164" t="n"/>
      <c r="G716" s="164" t="n"/>
      <c r="H716" s="164" t="n"/>
      <c r="I716" s="166" t="n"/>
      <c r="J716" s="166" t="n"/>
      <c r="K716" s="166" t="n"/>
      <c r="L716" s="168" t="n"/>
      <c r="M716" s="167">
        <f>H716*I716+J716+K716</f>
        <v/>
      </c>
      <c r="N716" s="167">
        <f>M716*L716</f>
        <v/>
      </c>
      <c r="O716" s="167">
        <f>M716+N716</f>
        <v/>
      </c>
      <c r="P716" s="164" t="n"/>
    </row>
    <row r="717">
      <c r="A717" s="173" t="n"/>
      <c r="B717" s="164" t="n"/>
      <c r="C717" s="164" t="n"/>
      <c r="D717" s="164" t="n"/>
      <c r="E717" s="164" t="n"/>
      <c r="F717" s="164" t="n"/>
      <c r="G717" s="164" t="n"/>
      <c r="H717" s="164" t="n"/>
      <c r="I717" s="166" t="n"/>
      <c r="J717" s="166" t="n"/>
      <c r="K717" s="166" t="n"/>
      <c r="L717" s="168" t="n"/>
      <c r="M717" s="167">
        <f>H717*I717+J717+K717</f>
        <v/>
      </c>
      <c r="N717" s="167">
        <f>M717*L717</f>
        <v/>
      </c>
      <c r="O717" s="167">
        <f>M717+N717</f>
        <v/>
      </c>
      <c r="P717" s="164" t="n"/>
    </row>
    <row r="718">
      <c r="A718" s="173" t="n"/>
      <c r="B718" s="164" t="n"/>
      <c r="C718" s="164" t="n"/>
      <c r="D718" s="164" t="n"/>
      <c r="E718" s="164" t="n"/>
      <c r="F718" s="164" t="n"/>
      <c r="G718" s="164" t="n"/>
      <c r="H718" s="164" t="n"/>
      <c r="I718" s="166" t="n"/>
      <c r="J718" s="166" t="n"/>
      <c r="K718" s="166" t="n"/>
      <c r="L718" s="168" t="n"/>
      <c r="M718" s="167">
        <f>H718*I718+J718+K718</f>
        <v/>
      </c>
      <c r="N718" s="167">
        <f>M718*L718</f>
        <v/>
      </c>
      <c r="O718" s="167">
        <f>M718+N718</f>
        <v/>
      </c>
      <c r="P718" s="164" t="n"/>
    </row>
    <row r="719">
      <c r="A719" s="173" t="n"/>
      <c r="B719" s="164" t="n"/>
      <c r="C719" s="164" t="n"/>
      <c r="D719" s="164" t="n"/>
      <c r="E719" s="164" t="n"/>
      <c r="F719" s="164" t="n"/>
      <c r="G719" s="164" t="n"/>
      <c r="H719" s="164" t="n"/>
      <c r="I719" s="166" t="n"/>
      <c r="J719" s="166" t="n"/>
      <c r="K719" s="166" t="n"/>
      <c r="L719" s="168" t="n"/>
      <c r="M719" s="167">
        <f>H719*I719+J719+K719</f>
        <v/>
      </c>
      <c r="N719" s="167">
        <f>M719*L719</f>
        <v/>
      </c>
      <c r="O719" s="167">
        <f>M719+N719</f>
        <v/>
      </c>
      <c r="P719" s="164" t="n"/>
    </row>
    <row r="720">
      <c r="A720" s="173" t="n"/>
      <c r="B720" s="164" t="n"/>
      <c r="C720" s="164" t="n"/>
      <c r="D720" s="164" t="n"/>
      <c r="E720" s="164" t="n"/>
      <c r="F720" s="164" t="n"/>
      <c r="G720" s="164" t="n"/>
      <c r="H720" s="164" t="n"/>
      <c r="I720" s="166" t="n"/>
      <c r="J720" s="166" t="n"/>
      <c r="K720" s="166" t="n"/>
      <c r="L720" s="168" t="n"/>
      <c r="M720" s="167">
        <f>H720*I720+J720+K720</f>
        <v/>
      </c>
      <c r="N720" s="167">
        <f>M720*L720</f>
        <v/>
      </c>
      <c r="O720" s="167">
        <f>M720+N720</f>
        <v/>
      </c>
      <c r="P720" s="164" t="n"/>
    </row>
    <row r="721">
      <c r="A721" s="173" t="n"/>
      <c r="B721" s="164" t="n"/>
      <c r="C721" s="164" t="n"/>
      <c r="D721" s="164" t="n"/>
      <c r="E721" s="164" t="n"/>
      <c r="F721" s="164" t="n"/>
      <c r="G721" s="164" t="n"/>
      <c r="H721" s="164" t="n"/>
      <c r="I721" s="166" t="n"/>
      <c r="J721" s="166" t="n"/>
      <c r="K721" s="166" t="n"/>
      <c r="L721" s="168" t="n"/>
      <c r="M721" s="167">
        <f>H721*I721+J721+K721</f>
        <v/>
      </c>
      <c r="N721" s="167">
        <f>M721*L721</f>
        <v/>
      </c>
      <c r="O721" s="167">
        <f>M721+N721</f>
        <v/>
      </c>
      <c r="P721" s="164" t="n"/>
    </row>
    <row r="722">
      <c r="A722" s="173" t="n"/>
      <c r="B722" s="164" t="n"/>
      <c r="C722" s="164" t="n"/>
      <c r="D722" s="164" t="n"/>
      <c r="E722" s="164" t="n"/>
      <c r="F722" s="164" t="n"/>
      <c r="G722" s="164" t="n"/>
      <c r="H722" s="164" t="n"/>
      <c r="I722" s="166" t="n"/>
      <c r="J722" s="166" t="n"/>
      <c r="K722" s="166" t="n"/>
      <c r="L722" s="168" t="n"/>
      <c r="M722" s="167">
        <f>H722*I722+J722+K722</f>
        <v/>
      </c>
      <c r="N722" s="167">
        <f>M722*L722</f>
        <v/>
      </c>
      <c r="O722" s="167">
        <f>M722+N722</f>
        <v/>
      </c>
      <c r="P722" s="164" t="n"/>
    </row>
    <row r="723">
      <c r="A723" s="173" t="n"/>
      <c r="B723" s="164" t="n"/>
      <c r="C723" s="164" t="n"/>
      <c r="D723" s="164" t="n"/>
      <c r="E723" s="164" t="n"/>
      <c r="F723" s="164" t="n"/>
      <c r="G723" s="164" t="n"/>
      <c r="H723" s="164" t="n"/>
      <c r="I723" s="166" t="n"/>
      <c r="J723" s="166" t="n"/>
      <c r="K723" s="166" t="n"/>
      <c r="L723" s="168" t="n"/>
      <c r="M723" s="167">
        <f>H723*I723+J723+K723</f>
        <v/>
      </c>
      <c r="N723" s="167">
        <f>M723*L723</f>
        <v/>
      </c>
      <c r="O723" s="167">
        <f>M723+N723</f>
        <v/>
      </c>
      <c r="P723" s="164" t="n"/>
    </row>
    <row r="724">
      <c r="A724" s="173" t="n"/>
      <c r="B724" s="164" t="n"/>
      <c r="C724" s="164" t="n"/>
      <c r="D724" s="164" t="n"/>
      <c r="E724" s="164" t="n"/>
      <c r="F724" s="164" t="n"/>
      <c r="G724" s="164" t="n"/>
      <c r="H724" s="164" t="n"/>
      <c r="I724" s="166" t="n"/>
      <c r="J724" s="166" t="n"/>
      <c r="K724" s="166" t="n"/>
      <c r="L724" s="168" t="n"/>
      <c r="M724" s="167">
        <f>H724*I724+J724+K724</f>
        <v/>
      </c>
      <c r="N724" s="167">
        <f>M724*L724</f>
        <v/>
      </c>
      <c r="O724" s="167">
        <f>M724+N724</f>
        <v/>
      </c>
      <c r="P724" s="164" t="n"/>
    </row>
    <row r="725">
      <c r="A725" s="173" t="n"/>
      <c r="B725" s="164" t="n"/>
      <c r="C725" s="164" t="n"/>
      <c r="D725" s="164" t="n"/>
      <c r="E725" s="164" t="n"/>
      <c r="F725" s="164" t="n"/>
      <c r="G725" s="164" t="n"/>
      <c r="H725" s="164" t="n"/>
      <c r="I725" s="166" t="n"/>
      <c r="J725" s="166" t="n"/>
      <c r="K725" s="166" t="n"/>
      <c r="L725" s="168" t="n"/>
      <c r="M725" s="167">
        <f>H725*I725+J725+K725</f>
        <v/>
      </c>
      <c r="N725" s="167">
        <f>M725*L725</f>
        <v/>
      </c>
      <c r="O725" s="167">
        <f>M725+N725</f>
        <v/>
      </c>
      <c r="P725" s="164" t="n"/>
    </row>
    <row r="726">
      <c r="A726" s="173" t="n"/>
      <c r="B726" s="164" t="n"/>
      <c r="C726" s="164" t="n"/>
      <c r="D726" s="164" t="n"/>
      <c r="E726" s="164" t="n"/>
      <c r="F726" s="164" t="n"/>
      <c r="G726" s="164" t="n"/>
      <c r="H726" s="164" t="n"/>
      <c r="I726" s="166" t="n"/>
      <c r="J726" s="166" t="n"/>
      <c r="K726" s="166" t="n"/>
      <c r="L726" s="168" t="n"/>
      <c r="M726" s="167">
        <f>H726*I726+J726+K726</f>
        <v/>
      </c>
      <c r="N726" s="167">
        <f>M726*L726</f>
        <v/>
      </c>
      <c r="O726" s="167">
        <f>M726+N726</f>
        <v/>
      </c>
      <c r="P726" s="164" t="n"/>
    </row>
    <row r="727">
      <c r="A727" s="173" t="n"/>
      <c r="B727" s="164" t="n"/>
      <c r="C727" s="164" t="n"/>
      <c r="D727" s="164" t="n"/>
      <c r="E727" s="164" t="n"/>
      <c r="F727" s="164" t="n"/>
      <c r="G727" s="164" t="n"/>
      <c r="H727" s="164" t="n"/>
      <c r="I727" s="166" t="n"/>
      <c r="J727" s="166" t="n"/>
      <c r="K727" s="166" t="n"/>
      <c r="L727" s="168" t="n"/>
      <c r="M727" s="167">
        <f>H727*I727+J727+K727</f>
        <v/>
      </c>
      <c r="N727" s="167">
        <f>M727*L727</f>
        <v/>
      </c>
      <c r="O727" s="167">
        <f>M727+N727</f>
        <v/>
      </c>
      <c r="P727" s="164" t="n"/>
    </row>
    <row r="728">
      <c r="A728" s="173" t="n"/>
      <c r="B728" s="164" t="n"/>
      <c r="C728" s="164" t="n"/>
      <c r="D728" s="164" t="n"/>
      <c r="E728" s="164" t="n"/>
      <c r="F728" s="164" t="n"/>
      <c r="G728" s="164" t="n"/>
      <c r="H728" s="164" t="n"/>
      <c r="I728" s="166" t="n"/>
      <c r="J728" s="166" t="n"/>
      <c r="K728" s="166" t="n"/>
      <c r="L728" s="168" t="n"/>
      <c r="M728" s="167">
        <f>H728*I728+J728+K728</f>
        <v/>
      </c>
      <c r="N728" s="167">
        <f>M728*L728</f>
        <v/>
      </c>
      <c r="O728" s="167">
        <f>M728+N728</f>
        <v/>
      </c>
      <c r="P728" s="164" t="n"/>
    </row>
    <row r="729">
      <c r="A729" s="173" t="n"/>
      <c r="B729" s="164" t="n"/>
      <c r="C729" s="164" t="n"/>
      <c r="D729" s="164" t="n"/>
      <c r="E729" s="164" t="n"/>
      <c r="F729" s="164" t="n"/>
      <c r="G729" s="164" t="n"/>
      <c r="H729" s="164" t="n"/>
      <c r="I729" s="166" t="n"/>
      <c r="J729" s="166" t="n"/>
      <c r="K729" s="166" t="n"/>
      <c r="L729" s="168" t="n"/>
      <c r="M729" s="167">
        <f>H729*I729+J729+K729</f>
        <v/>
      </c>
      <c r="N729" s="167">
        <f>M729*L729</f>
        <v/>
      </c>
      <c r="O729" s="167">
        <f>M729+N729</f>
        <v/>
      </c>
      <c r="P729" s="164" t="n"/>
    </row>
    <row r="730">
      <c r="A730" s="173" t="n"/>
      <c r="B730" s="164" t="n"/>
      <c r="C730" s="164" t="n"/>
      <c r="D730" s="164" t="n"/>
      <c r="E730" s="164" t="n"/>
      <c r="F730" s="164" t="n"/>
      <c r="G730" s="164" t="n"/>
      <c r="H730" s="164" t="n"/>
      <c r="I730" s="166" t="n"/>
      <c r="J730" s="166" t="n"/>
      <c r="K730" s="166" t="n"/>
      <c r="L730" s="168" t="n"/>
      <c r="M730" s="167">
        <f>H730*I730+J730+K730</f>
        <v/>
      </c>
      <c r="N730" s="167">
        <f>M730*L730</f>
        <v/>
      </c>
      <c r="O730" s="167">
        <f>M730+N730</f>
        <v/>
      </c>
      <c r="P730" s="164" t="n"/>
    </row>
    <row r="731">
      <c r="A731" s="173" t="n"/>
      <c r="B731" s="164" t="n"/>
      <c r="C731" s="164" t="n"/>
      <c r="D731" s="164" t="n"/>
      <c r="E731" s="164" t="n"/>
      <c r="F731" s="164" t="n"/>
      <c r="G731" s="164" t="n"/>
      <c r="H731" s="164" t="n"/>
      <c r="I731" s="166" t="n"/>
      <c r="J731" s="166" t="n"/>
      <c r="K731" s="166" t="n"/>
      <c r="L731" s="168" t="n"/>
      <c r="M731" s="167">
        <f>H731*I731+J731+K731</f>
        <v/>
      </c>
      <c r="N731" s="167">
        <f>M731*L731</f>
        <v/>
      </c>
      <c r="O731" s="167">
        <f>M731+N731</f>
        <v/>
      </c>
      <c r="P731" s="164" t="n"/>
    </row>
    <row r="732">
      <c r="A732" s="173" t="n"/>
      <c r="B732" s="164" t="n"/>
      <c r="C732" s="164" t="n"/>
      <c r="D732" s="164" t="n"/>
      <c r="E732" s="164" t="n"/>
      <c r="F732" s="164" t="n"/>
      <c r="G732" s="164" t="n"/>
      <c r="H732" s="164" t="n"/>
      <c r="I732" s="166" t="n"/>
      <c r="J732" s="166" t="n"/>
      <c r="K732" s="166" t="n"/>
      <c r="L732" s="168" t="n"/>
      <c r="M732" s="167">
        <f>H732*I732+J732+K732</f>
        <v/>
      </c>
      <c r="N732" s="167">
        <f>M732*L732</f>
        <v/>
      </c>
      <c r="O732" s="167">
        <f>M732+N732</f>
        <v/>
      </c>
      <c r="P732" s="164" t="n"/>
    </row>
    <row r="733">
      <c r="A733" s="173" t="n"/>
      <c r="B733" s="164" t="n"/>
      <c r="C733" s="164" t="n"/>
      <c r="D733" s="164" t="n"/>
      <c r="E733" s="164" t="n"/>
      <c r="F733" s="164" t="n"/>
      <c r="G733" s="164" t="n"/>
      <c r="H733" s="164" t="n"/>
      <c r="I733" s="166" t="n"/>
      <c r="J733" s="166" t="n"/>
      <c r="K733" s="166" t="n"/>
      <c r="L733" s="168" t="n"/>
      <c r="M733" s="167">
        <f>H733*I733+J733+K733</f>
        <v/>
      </c>
      <c r="N733" s="167">
        <f>M733*L733</f>
        <v/>
      </c>
      <c r="O733" s="167">
        <f>M733+N733</f>
        <v/>
      </c>
      <c r="P733" s="164" t="n"/>
    </row>
    <row r="734">
      <c r="A734" s="173" t="n"/>
      <c r="B734" s="164" t="n"/>
      <c r="C734" s="164" t="n"/>
      <c r="D734" s="164" t="n"/>
      <c r="E734" s="164" t="n"/>
      <c r="F734" s="164" t="n"/>
      <c r="G734" s="164" t="n"/>
      <c r="H734" s="164" t="n"/>
      <c r="I734" s="166" t="n"/>
      <c r="J734" s="166" t="n"/>
      <c r="K734" s="166" t="n"/>
      <c r="L734" s="168" t="n"/>
      <c r="M734" s="167">
        <f>H734*I734+J734+K734</f>
        <v/>
      </c>
      <c r="N734" s="167">
        <f>M734*L734</f>
        <v/>
      </c>
      <c r="O734" s="167">
        <f>M734+N734</f>
        <v/>
      </c>
      <c r="P734" s="164" t="n"/>
    </row>
    <row r="735">
      <c r="A735" s="173" t="n"/>
      <c r="B735" s="164" t="n"/>
      <c r="C735" s="164" t="n"/>
      <c r="D735" s="164" t="n"/>
      <c r="E735" s="164" t="n"/>
      <c r="F735" s="164" t="n"/>
      <c r="G735" s="164" t="n"/>
      <c r="H735" s="164" t="n"/>
      <c r="I735" s="166" t="n"/>
      <c r="J735" s="166" t="n"/>
      <c r="K735" s="166" t="n"/>
      <c r="L735" s="168" t="n"/>
      <c r="M735" s="167">
        <f>H735*I735+J735+K735</f>
        <v/>
      </c>
      <c r="N735" s="167">
        <f>M735*L735</f>
        <v/>
      </c>
      <c r="O735" s="167">
        <f>M735+N735</f>
        <v/>
      </c>
      <c r="P735" s="164" t="n"/>
    </row>
    <row r="736">
      <c r="A736" s="173" t="n"/>
      <c r="B736" s="164" t="n"/>
      <c r="C736" s="164" t="n"/>
      <c r="D736" s="164" t="n"/>
      <c r="E736" s="164" t="n"/>
      <c r="F736" s="164" t="n"/>
      <c r="G736" s="164" t="n"/>
      <c r="H736" s="164" t="n"/>
      <c r="I736" s="166" t="n"/>
      <c r="J736" s="166" t="n"/>
      <c r="K736" s="166" t="n"/>
      <c r="L736" s="168" t="n"/>
      <c r="M736" s="167">
        <f>H736*I736+J736+K736</f>
        <v/>
      </c>
      <c r="N736" s="167">
        <f>M736*L736</f>
        <v/>
      </c>
      <c r="O736" s="167">
        <f>M736+N736</f>
        <v/>
      </c>
      <c r="P736" s="164" t="n"/>
    </row>
    <row r="737">
      <c r="A737" s="173" t="n"/>
      <c r="B737" s="164" t="n"/>
      <c r="C737" s="164" t="n"/>
      <c r="D737" s="164" t="n"/>
      <c r="E737" s="164" t="n"/>
      <c r="F737" s="164" t="n"/>
      <c r="G737" s="164" t="n"/>
      <c r="H737" s="164" t="n"/>
      <c r="I737" s="166" t="n"/>
      <c r="J737" s="166" t="n"/>
      <c r="K737" s="166" t="n"/>
      <c r="L737" s="168" t="n"/>
      <c r="M737" s="167">
        <f>H737*I737+J737+K737</f>
        <v/>
      </c>
      <c r="N737" s="167">
        <f>M737*L737</f>
        <v/>
      </c>
      <c r="O737" s="167">
        <f>M737+N737</f>
        <v/>
      </c>
      <c r="P737" s="164" t="n"/>
    </row>
    <row r="738">
      <c r="A738" s="173" t="n"/>
      <c r="B738" s="164" t="n"/>
      <c r="C738" s="164" t="n"/>
      <c r="D738" s="164" t="n"/>
      <c r="E738" s="164" t="n"/>
      <c r="F738" s="164" t="n"/>
      <c r="G738" s="164" t="n"/>
      <c r="H738" s="164" t="n"/>
      <c r="I738" s="166" t="n"/>
      <c r="J738" s="166" t="n"/>
      <c r="K738" s="166" t="n"/>
      <c r="L738" s="168" t="n"/>
      <c r="M738" s="167">
        <f>H738*I738+J738+K738</f>
        <v/>
      </c>
      <c r="N738" s="167">
        <f>M738*L738</f>
        <v/>
      </c>
      <c r="O738" s="167">
        <f>M738+N738</f>
        <v/>
      </c>
      <c r="P738" s="164" t="n"/>
    </row>
    <row r="739">
      <c r="A739" s="173" t="n"/>
      <c r="B739" s="164" t="n"/>
      <c r="C739" s="164" t="n"/>
      <c r="D739" s="164" t="n"/>
      <c r="E739" s="164" t="n"/>
      <c r="F739" s="164" t="n"/>
      <c r="G739" s="164" t="n"/>
      <c r="H739" s="164" t="n"/>
      <c r="I739" s="166" t="n"/>
      <c r="J739" s="166" t="n"/>
      <c r="K739" s="166" t="n"/>
      <c r="L739" s="168" t="n"/>
      <c r="M739" s="167">
        <f>H739*I739+J739+K739</f>
        <v/>
      </c>
      <c r="N739" s="167">
        <f>M739*L739</f>
        <v/>
      </c>
      <c r="O739" s="167">
        <f>M739+N739</f>
        <v/>
      </c>
      <c r="P739" s="164" t="n"/>
    </row>
    <row r="740">
      <c r="A740" s="173" t="n"/>
      <c r="B740" s="164" t="n"/>
      <c r="C740" s="164" t="n"/>
      <c r="D740" s="164" t="n"/>
      <c r="E740" s="164" t="n"/>
      <c r="F740" s="164" t="n"/>
      <c r="G740" s="164" t="n"/>
      <c r="H740" s="164" t="n"/>
      <c r="I740" s="166" t="n"/>
      <c r="J740" s="166" t="n"/>
      <c r="K740" s="166" t="n"/>
      <c r="L740" s="168" t="n"/>
      <c r="M740" s="167">
        <f>H740*I740+J740+K740</f>
        <v/>
      </c>
      <c r="N740" s="167">
        <f>M740*L740</f>
        <v/>
      </c>
      <c r="O740" s="167">
        <f>M740+N740</f>
        <v/>
      </c>
      <c r="P740" s="164" t="n"/>
    </row>
    <row r="741">
      <c r="A741" s="173" t="n"/>
      <c r="B741" s="164" t="n"/>
      <c r="C741" s="164" t="n"/>
      <c r="D741" s="164" t="n"/>
      <c r="E741" s="164" t="n"/>
      <c r="F741" s="164" t="n"/>
      <c r="G741" s="164" t="n"/>
      <c r="H741" s="164" t="n"/>
      <c r="I741" s="166" t="n"/>
      <c r="J741" s="166" t="n"/>
      <c r="K741" s="166" t="n"/>
      <c r="L741" s="168" t="n"/>
      <c r="M741" s="167">
        <f>H741*I741+J741+K741</f>
        <v/>
      </c>
      <c r="N741" s="167">
        <f>M741*L741</f>
        <v/>
      </c>
      <c r="O741" s="167">
        <f>M741+N741</f>
        <v/>
      </c>
      <c r="P741" s="164" t="n"/>
    </row>
    <row r="742">
      <c r="A742" s="173" t="n"/>
      <c r="B742" s="164" t="n"/>
      <c r="C742" s="164" t="n"/>
      <c r="D742" s="164" t="n"/>
      <c r="E742" s="164" t="n"/>
      <c r="F742" s="164" t="n"/>
      <c r="G742" s="164" t="n"/>
      <c r="H742" s="164" t="n"/>
      <c r="I742" s="166" t="n"/>
      <c r="J742" s="166" t="n"/>
      <c r="K742" s="166" t="n"/>
      <c r="L742" s="168" t="n"/>
      <c r="M742" s="167">
        <f>H742*I742+J742+K742</f>
        <v/>
      </c>
      <c r="N742" s="167">
        <f>M742*L742</f>
        <v/>
      </c>
      <c r="O742" s="167">
        <f>M742+N742</f>
        <v/>
      </c>
      <c r="P742" s="164" t="n"/>
    </row>
    <row r="743">
      <c r="A743" s="173" t="n"/>
      <c r="B743" s="164" t="n"/>
      <c r="C743" s="164" t="n"/>
      <c r="D743" s="164" t="n"/>
      <c r="E743" s="164" t="n"/>
      <c r="F743" s="164" t="n"/>
      <c r="G743" s="164" t="n"/>
      <c r="H743" s="164" t="n"/>
      <c r="I743" s="166" t="n"/>
      <c r="J743" s="166" t="n"/>
      <c r="K743" s="166" t="n"/>
      <c r="L743" s="168" t="n"/>
      <c r="M743" s="167">
        <f>H743*I743+J743+K743</f>
        <v/>
      </c>
      <c r="N743" s="167">
        <f>M743*L743</f>
        <v/>
      </c>
      <c r="O743" s="167">
        <f>M743+N743</f>
        <v/>
      </c>
      <c r="P743" s="164" t="n"/>
    </row>
    <row r="744">
      <c r="A744" s="173" t="n"/>
      <c r="B744" s="164" t="n"/>
      <c r="C744" s="164" t="n"/>
      <c r="D744" s="164" t="n"/>
      <c r="E744" s="164" t="n"/>
      <c r="F744" s="164" t="n"/>
      <c r="G744" s="164" t="n"/>
      <c r="H744" s="164" t="n"/>
      <c r="I744" s="166" t="n"/>
      <c r="J744" s="166" t="n"/>
      <c r="K744" s="166" t="n"/>
      <c r="L744" s="168" t="n"/>
      <c r="M744" s="167">
        <f>H744*I744+J744+K744</f>
        <v/>
      </c>
      <c r="N744" s="167">
        <f>M744*L744</f>
        <v/>
      </c>
      <c r="O744" s="167">
        <f>M744+N744</f>
        <v/>
      </c>
      <c r="P744" s="164" t="n"/>
    </row>
    <row r="745">
      <c r="A745" s="173" t="n"/>
      <c r="B745" s="164" t="n"/>
      <c r="C745" s="164" t="n"/>
      <c r="D745" s="164" t="n"/>
      <c r="E745" s="164" t="n"/>
      <c r="F745" s="164" t="n"/>
      <c r="G745" s="164" t="n"/>
      <c r="H745" s="164" t="n"/>
      <c r="I745" s="166" t="n"/>
      <c r="J745" s="166" t="n"/>
      <c r="K745" s="166" t="n"/>
      <c r="L745" s="168" t="n"/>
      <c r="M745" s="167">
        <f>H745*I745+J745+K745</f>
        <v/>
      </c>
      <c r="N745" s="167">
        <f>M745*L745</f>
        <v/>
      </c>
      <c r="O745" s="167">
        <f>M745+N745</f>
        <v/>
      </c>
      <c r="P745" s="164" t="n"/>
    </row>
    <row r="746">
      <c r="A746" s="173" t="n"/>
      <c r="B746" s="164" t="n"/>
      <c r="C746" s="164" t="n"/>
      <c r="D746" s="164" t="n"/>
      <c r="E746" s="164" t="n"/>
      <c r="F746" s="164" t="n"/>
      <c r="G746" s="164" t="n"/>
      <c r="H746" s="164" t="n"/>
      <c r="I746" s="166" t="n"/>
      <c r="J746" s="166" t="n"/>
      <c r="K746" s="166" t="n"/>
      <c r="L746" s="168" t="n"/>
      <c r="M746" s="167">
        <f>H746*I746+J746+K746</f>
        <v/>
      </c>
      <c r="N746" s="167">
        <f>M746*L746</f>
        <v/>
      </c>
      <c r="O746" s="167">
        <f>M746+N746</f>
        <v/>
      </c>
      <c r="P746" s="164" t="n"/>
    </row>
    <row r="747">
      <c r="A747" s="173" t="n"/>
      <c r="B747" s="164" t="n"/>
      <c r="C747" s="164" t="n"/>
      <c r="D747" s="164" t="n"/>
      <c r="E747" s="164" t="n"/>
      <c r="F747" s="164" t="n"/>
      <c r="G747" s="164" t="n"/>
      <c r="H747" s="164" t="n"/>
      <c r="I747" s="166" t="n"/>
      <c r="J747" s="166" t="n"/>
      <c r="K747" s="166" t="n"/>
      <c r="L747" s="168" t="n"/>
      <c r="M747" s="167">
        <f>H747*I747+J747+K747</f>
        <v/>
      </c>
      <c r="N747" s="167">
        <f>M747*L747</f>
        <v/>
      </c>
      <c r="O747" s="167">
        <f>M747+N747</f>
        <v/>
      </c>
      <c r="P747" s="164" t="n"/>
    </row>
    <row r="748">
      <c r="A748" s="173" t="n"/>
      <c r="B748" s="164" t="n"/>
      <c r="C748" s="164" t="n"/>
      <c r="D748" s="164" t="n"/>
      <c r="E748" s="164" t="n"/>
      <c r="F748" s="164" t="n"/>
      <c r="G748" s="164" t="n"/>
      <c r="H748" s="164" t="n"/>
      <c r="I748" s="166" t="n"/>
      <c r="J748" s="166" t="n"/>
      <c r="K748" s="166" t="n"/>
      <c r="L748" s="168" t="n"/>
      <c r="M748" s="167">
        <f>H748*I748+J748+K748</f>
        <v/>
      </c>
      <c r="N748" s="167">
        <f>M748*L748</f>
        <v/>
      </c>
      <c r="O748" s="167">
        <f>M748+N748</f>
        <v/>
      </c>
      <c r="P748" s="164" t="n"/>
    </row>
    <row r="749">
      <c r="A749" s="173" t="n"/>
      <c r="B749" s="164" t="n"/>
      <c r="C749" s="164" t="n"/>
      <c r="D749" s="164" t="n"/>
      <c r="E749" s="164" t="n"/>
      <c r="F749" s="164" t="n"/>
      <c r="G749" s="164" t="n"/>
      <c r="H749" s="164" t="n"/>
      <c r="I749" s="166" t="n"/>
      <c r="J749" s="166" t="n"/>
      <c r="K749" s="166" t="n"/>
      <c r="L749" s="168" t="n"/>
      <c r="M749" s="167">
        <f>H749*I749+J749+K749</f>
        <v/>
      </c>
      <c r="N749" s="167">
        <f>M749*L749</f>
        <v/>
      </c>
      <c r="O749" s="167">
        <f>M749+N749</f>
        <v/>
      </c>
      <c r="P749" s="164" t="n"/>
    </row>
    <row r="750">
      <c r="A750" s="173" t="n"/>
      <c r="B750" s="164" t="n"/>
      <c r="C750" s="164" t="n"/>
      <c r="D750" s="164" t="n"/>
      <c r="E750" s="164" t="n"/>
      <c r="F750" s="164" t="n"/>
      <c r="G750" s="164" t="n"/>
      <c r="H750" s="164" t="n"/>
      <c r="I750" s="166" t="n"/>
      <c r="J750" s="166" t="n"/>
      <c r="K750" s="166" t="n"/>
      <c r="L750" s="168" t="n"/>
      <c r="M750" s="167">
        <f>H750*I750+J750+K750</f>
        <v/>
      </c>
      <c r="N750" s="167">
        <f>M750*L750</f>
        <v/>
      </c>
      <c r="O750" s="167">
        <f>M750+N750</f>
        <v/>
      </c>
      <c r="P750" s="164" t="n"/>
    </row>
    <row r="751">
      <c r="A751" s="173" t="n"/>
      <c r="B751" s="164" t="n"/>
      <c r="C751" s="164" t="n"/>
      <c r="D751" s="164" t="n"/>
      <c r="E751" s="164" t="n"/>
      <c r="F751" s="164" t="n"/>
      <c r="G751" s="164" t="n"/>
      <c r="H751" s="164" t="n"/>
      <c r="I751" s="166" t="n"/>
      <c r="J751" s="166" t="n"/>
      <c r="K751" s="166" t="n"/>
      <c r="L751" s="168" t="n"/>
      <c r="M751" s="167">
        <f>H751*I751+J751+K751</f>
        <v/>
      </c>
      <c r="N751" s="167">
        <f>M751*L751</f>
        <v/>
      </c>
      <c r="O751" s="167">
        <f>M751+N751</f>
        <v/>
      </c>
      <c r="P751" s="164" t="n"/>
    </row>
    <row r="752">
      <c r="A752" s="173" t="n"/>
      <c r="B752" s="164" t="n"/>
      <c r="C752" s="164" t="n"/>
      <c r="D752" s="164" t="n"/>
      <c r="E752" s="164" t="n"/>
      <c r="F752" s="164" t="n"/>
      <c r="G752" s="164" t="n"/>
      <c r="H752" s="164" t="n"/>
      <c r="I752" s="166" t="n"/>
      <c r="J752" s="166" t="n"/>
      <c r="K752" s="166" t="n"/>
      <c r="L752" s="168" t="n"/>
      <c r="M752" s="167">
        <f>H752*I752+J752+K752</f>
        <v/>
      </c>
      <c r="N752" s="167">
        <f>M752*L752</f>
        <v/>
      </c>
      <c r="O752" s="167">
        <f>M752+N752</f>
        <v/>
      </c>
      <c r="P752" s="164" t="n"/>
    </row>
    <row r="753">
      <c r="A753" s="173" t="n"/>
      <c r="B753" s="164" t="n"/>
      <c r="C753" s="164" t="n"/>
      <c r="D753" s="164" t="n"/>
      <c r="E753" s="164" t="n"/>
      <c r="F753" s="164" t="n"/>
      <c r="G753" s="164" t="n"/>
      <c r="H753" s="164" t="n"/>
      <c r="I753" s="166" t="n"/>
      <c r="J753" s="166" t="n"/>
      <c r="K753" s="166" t="n"/>
      <c r="L753" s="168" t="n"/>
      <c r="M753" s="167">
        <f>H753*I753+J753+K753</f>
        <v/>
      </c>
      <c r="N753" s="167">
        <f>M753*L753</f>
        <v/>
      </c>
      <c r="O753" s="167">
        <f>M753+N753</f>
        <v/>
      </c>
      <c r="P753" s="164" t="n"/>
    </row>
    <row r="754">
      <c r="A754" s="173" t="n"/>
      <c r="B754" s="164" t="n"/>
      <c r="C754" s="164" t="n"/>
      <c r="D754" s="164" t="n"/>
      <c r="E754" s="164" t="n"/>
      <c r="F754" s="164" t="n"/>
      <c r="G754" s="164" t="n"/>
      <c r="H754" s="164" t="n"/>
      <c r="I754" s="166" t="n"/>
      <c r="J754" s="166" t="n"/>
      <c r="K754" s="166" t="n"/>
      <c r="L754" s="168" t="n"/>
      <c r="M754" s="167">
        <f>H754*I754+J754+K754</f>
        <v/>
      </c>
      <c r="N754" s="167">
        <f>M754*L754</f>
        <v/>
      </c>
      <c r="O754" s="167">
        <f>M754+N754</f>
        <v/>
      </c>
      <c r="P754" s="164" t="n"/>
    </row>
    <row r="755">
      <c r="A755" s="173" t="n"/>
      <c r="B755" s="164" t="n"/>
      <c r="C755" s="164" t="n"/>
      <c r="D755" s="164" t="n"/>
      <c r="E755" s="164" t="n"/>
      <c r="F755" s="164" t="n"/>
      <c r="G755" s="164" t="n"/>
      <c r="H755" s="164" t="n"/>
      <c r="I755" s="166" t="n"/>
      <c r="J755" s="166" t="n"/>
      <c r="K755" s="166" t="n"/>
      <c r="L755" s="168" t="n"/>
      <c r="M755" s="167">
        <f>H755*I755+J755+K755</f>
        <v/>
      </c>
      <c r="N755" s="167">
        <f>M755*L755</f>
        <v/>
      </c>
      <c r="O755" s="167">
        <f>M755+N755</f>
        <v/>
      </c>
      <c r="P755" s="164" t="n"/>
    </row>
    <row r="756">
      <c r="A756" s="173" t="n"/>
      <c r="B756" s="164" t="n"/>
      <c r="C756" s="164" t="n"/>
      <c r="D756" s="164" t="n"/>
      <c r="E756" s="164" t="n"/>
      <c r="F756" s="164" t="n"/>
      <c r="G756" s="164" t="n"/>
      <c r="H756" s="164" t="n"/>
      <c r="I756" s="166" t="n"/>
      <c r="J756" s="166" t="n"/>
      <c r="K756" s="166" t="n"/>
      <c r="L756" s="168" t="n"/>
      <c r="M756" s="167">
        <f>H756*I756+J756+K756</f>
        <v/>
      </c>
      <c r="N756" s="167">
        <f>M756*L756</f>
        <v/>
      </c>
      <c r="O756" s="167">
        <f>M756+N756</f>
        <v/>
      </c>
      <c r="P756" s="164" t="n"/>
    </row>
    <row r="757">
      <c r="A757" s="173" t="n"/>
      <c r="B757" s="164" t="n"/>
      <c r="C757" s="164" t="n"/>
      <c r="D757" s="164" t="n"/>
      <c r="E757" s="164" t="n"/>
      <c r="F757" s="164" t="n"/>
      <c r="G757" s="164" t="n"/>
      <c r="H757" s="164" t="n"/>
      <c r="I757" s="166" t="n"/>
      <c r="J757" s="166" t="n"/>
      <c r="K757" s="166" t="n"/>
      <c r="L757" s="168" t="n"/>
      <c r="M757" s="167">
        <f>H757*I757+J757+K757</f>
        <v/>
      </c>
      <c r="N757" s="167">
        <f>M757*L757</f>
        <v/>
      </c>
      <c r="O757" s="167">
        <f>M757+N757</f>
        <v/>
      </c>
      <c r="P757" s="164" t="n"/>
    </row>
    <row r="758">
      <c r="A758" s="173" t="n"/>
      <c r="B758" s="164" t="n"/>
      <c r="C758" s="164" t="n"/>
      <c r="D758" s="164" t="n"/>
      <c r="E758" s="164" t="n"/>
      <c r="F758" s="164" t="n"/>
      <c r="G758" s="164" t="n"/>
      <c r="H758" s="164" t="n"/>
      <c r="I758" s="166" t="n"/>
      <c r="J758" s="166" t="n"/>
      <c r="K758" s="166" t="n"/>
      <c r="L758" s="168" t="n"/>
      <c r="M758" s="167">
        <f>H758*I758+J758+K758</f>
        <v/>
      </c>
      <c r="N758" s="167">
        <f>M758*L758</f>
        <v/>
      </c>
      <c r="O758" s="167">
        <f>M758+N758</f>
        <v/>
      </c>
      <c r="P758" s="164" t="n"/>
    </row>
    <row r="759">
      <c r="A759" s="173" t="n"/>
      <c r="B759" s="164" t="n"/>
      <c r="C759" s="164" t="n"/>
      <c r="D759" s="164" t="n"/>
      <c r="E759" s="164" t="n"/>
      <c r="F759" s="164" t="n"/>
      <c r="G759" s="164" t="n"/>
      <c r="H759" s="164" t="n"/>
      <c r="I759" s="166" t="n"/>
      <c r="J759" s="166" t="n"/>
      <c r="K759" s="166" t="n"/>
      <c r="L759" s="168" t="n"/>
      <c r="M759" s="167">
        <f>H759*I759+J759+K759</f>
        <v/>
      </c>
      <c r="N759" s="167">
        <f>M759*L759</f>
        <v/>
      </c>
      <c r="O759" s="167">
        <f>M759+N759</f>
        <v/>
      </c>
      <c r="P759" s="164" t="n"/>
    </row>
    <row r="760">
      <c r="A760" s="173" t="n"/>
      <c r="B760" s="164" t="n"/>
      <c r="C760" s="164" t="n"/>
      <c r="D760" s="164" t="n"/>
      <c r="E760" s="164" t="n"/>
      <c r="F760" s="164" t="n"/>
      <c r="G760" s="164" t="n"/>
      <c r="H760" s="164" t="n"/>
      <c r="I760" s="166" t="n"/>
      <c r="J760" s="166" t="n"/>
      <c r="K760" s="166" t="n"/>
      <c r="L760" s="168" t="n"/>
      <c r="M760" s="167">
        <f>H760*I760+J760+K760</f>
        <v/>
      </c>
      <c r="N760" s="167">
        <f>M760*L760</f>
        <v/>
      </c>
      <c r="O760" s="167">
        <f>M760+N760</f>
        <v/>
      </c>
      <c r="P760" s="164" t="n"/>
    </row>
    <row r="761">
      <c r="A761" s="173" t="n"/>
      <c r="B761" s="164" t="n"/>
      <c r="C761" s="164" t="n"/>
      <c r="D761" s="164" t="n"/>
      <c r="E761" s="164" t="n"/>
      <c r="F761" s="164" t="n"/>
      <c r="G761" s="164" t="n"/>
      <c r="H761" s="164" t="n"/>
      <c r="I761" s="166" t="n"/>
      <c r="J761" s="166" t="n"/>
      <c r="K761" s="166" t="n"/>
      <c r="L761" s="168" t="n"/>
      <c r="M761" s="167">
        <f>H761*I761+J761+K761</f>
        <v/>
      </c>
      <c r="N761" s="167">
        <f>M761*L761</f>
        <v/>
      </c>
      <c r="O761" s="167">
        <f>M761+N761</f>
        <v/>
      </c>
      <c r="P761" s="164" t="n"/>
    </row>
    <row r="762">
      <c r="A762" s="173" t="n"/>
      <c r="B762" s="164" t="n"/>
      <c r="C762" s="164" t="n"/>
      <c r="D762" s="164" t="n"/>
      <c r="E762" s="164" t="n"/>
      <c r="F762" s="164" t="n"/>
      <c r="G762" s="164" t="n"/>
      <c r="H762" s="164" t="n"/>
      <c r="I762" s="166" t="n"/>
      <c r="J762" s="166" t="n"/>
      <c r="K762" s="166" t="n"/>
      <c r="L762" s="168" t="n"/>
      <c r="M762" s="167">
        <f>H762*I762+J762+K762</f>
        <v/>
      </c>
      <c r="N762" s="167">
        <f>M762*L762</f>
        <v/>
      </c>
      <c r="O762" s="167">
        <f>M762+N762</f>
        <v/>
      </c>
      <c r="P762" s="164" t="n"/>
    </row>
    <row r="763">
      <c r="A763" s="173" t="n"/>
      <c r="B763" s="164" t="n"/>
      <c r="C763" s="164" t="n"/>
      <c r="D763" s="164" t="n"/>
      <c r="E763" s="164" t="n"/>
      <c r="F763" s="164" t="n"/>
      <c r="G763" s="164" t="n"/>
      <c r="H763" s="164" t="n"/>
      <c r="I763" s="166" t="n"/>
      <c r="J763" s="166" t="n"/>
      <c r="K763" s="166" t="n"/>
      <c r="L763" s="168" t="n"/>
      <c r="M763" s="167">
        <f>H763*I763+J763+K763</f>
        <v/>
      </c>
      <c r="N763" s="167">
        <f>M763*L763</f>
        <v/>
      </c>
      <c r="O763" s="167">
        <f>M763+N763</f>
        <v/>
      </c>
      <c r="P763" s="164" t="n"/>
    </row>
    <row r="764">
      <c r="A764" s="173" t="n"/>
      <c r="B764" s="164" t="n"/>
      <c r="C764" s="164" t="n"/>
      <c r="D764" s="164" t="n"/>
      <c r="E764" s="164" t="n"/>
      <c r="F764" s="164" t="n"/>
      <c r="G764" s="164" t="n"/>
      <c r="H764" s="164" t="n"/>
      <c r="I764" s="166" t="n"/>
      <c r="J764" s="166" t="n"/>
      <c r="K764" s="166" t="n"/>
      <c r="L764" s="168" t="n"/>
      <c r="M764" s="167">
        <f>H764*I764+J764+K764</f>
        <v/>
      </c>
      <c r="N764" s="167">
        <f>M764*L764</f>
        <v/>
      </c>
      <c r="O764" s="167">
        <f>M764+N764</f>
        <v/>
      </c>
      <c r="P764" s="164" t="n"/>
    </row>
    <row r="765">
      <c r="A765" s="173" t="n"/>
      <c r="B765" s="164" t="n"/>
      <c r="C765" s="164" t="n"/>
      <c r="D765" s="164" t="n"/>
      <c r="E765" s="164" t="n"/>
      <c r="F765" s="164" t="n"/>
      <c r="G765" s="164" t="n"/>
      <c r="H765" s="164" t="n"/>
      <c r="I765" s="166" t="n"/>
      <c r="J765" s="166" t="n"/>
      <c r="K765" s="166" t="n"/>
      <c r="L765" s="168" t="n"/>
      <c r="M765" s="167">
        <f>H765*I765+J765+K765</f>
        <v/>
      </c>
      <c r="N765" s="167">
        <f>M765*L765</f>
        <v/>
      </c>
      <c r="O765" s="167">
        <f>M765+N765</f>
        <v/>
      </c>
      <c r="P765" s="164" t="n"/>
    </row>
    <row r="766">
      <c r="A766" s="173" t="n"/>
      <c r="B766" s="164" t="n"/>
      <c r="C766" s="164" t="n"/>
      <c r="D766" s="164" t="n"/>
      <c r="E766" s="164" t="n"/>
      <c r="F766" s="164" t="n"/>
      <c r="G766" s="164" t="n"/>
      <c r="H766" s="164" t="n"/>
      <c r="I766" s="166" t="n"/>
      <c r="J766" s="166" t="n"/>
      <c r="K766" s="166" t="n"/>
      <c r="L766" s="168" t="n"/>
      <c r="M766" s="167">
        <f>H766*I766+J766+K766</f>
        <v/>
      </c>
      <c r="N766" s="167">
        <f>M766*L766</f>
        <v/>
      </c>
      <c r="O766" s="167">
        <f>M766+N766</f>
        <v/>
      </c>
      <c r="P766" s="164" t="n"/>
    </row>
    <row r="767">
      <c r="A767" s="173" t="n"/>
      <c r="B767" s="164" t="n"/>
      <c r="C767" s="164" t="n"/>
      <c r="D767" s="164" t="n"/>
      <c r="E767" s="164" t="n"/>
      <c r="F767" s="164" t="n"/>
      <c r="G767" s="164" t="n"/>
      <c r="H767" s="164" t="n"/>
      <c r="I767" s="166" t="n"/>
      <c r="J767" s="166" t="n"/>
      <c r="K767" s="166" t="n"/>
      <c r="L767" s="168" t="n"/>
      <c r="M767" s="167">
        <f>H767*I767+J767+K767</f>
        <v/>
      </c>
      <c r="N767" s="167">
        <f>M767*L767</f>
        <v/>
      </c>
      <c r="O767" s="167">
        <f>M767+N767</f>
        <v/>
      </c>
      <c r="P767" s="164" t="n"/>
    </row>
    <row r="768">
      <c r="A768" s="173" t="n"/>
      <c r="B768" s="164" t="n"/>
      <c r="C768" s="164" t="n"/>
      <c r="D768" s="164" t="n"/>
      <c r="E768" s="164" t="n"/>
      <c r="F768" s="164" t="n"/>
      <c r="G768" s="164" t="n"/>
      <c r="H768" s="164" t="n"/>
      <c r="I768" s="166" t="n"/>
      <c r="J768" s="166" t="n"/>
      <c r="K768" s="166" t="n"/>
      <c r="L768" s="168" t="n"/>
      <c r="M768" s="167">
        <f>H768*I768+J768+K768</f>
        <v/>
      </c>
      <c r="N768" s="167">
        <f>M768*L768</f>
        <v/>
      </c>
      <c r="O768" s="167">
        <f>M768+N768</f>
        <v/>
      </c>
      <c r="P768" s="164" t="n"/>
    </row>
    <row r="769">
      <c r="A769" s="173" t="n"/>
      <c r="B769" s="164" t="n"/>
      <c r="C769" s="164" t="n"/>
      <c r="D769" s="164" t="n"/>
      <c r="E769" s="164" t="n"/>
      <c r="F769" s="164" t="n"/>
      <c r="G769" s="164" t="n"/>
      <c r="H769" s="164" t="n"/>
      <c r="I769" s="166" t="n"/>
      <c r="J769" s="166" t="n"/>
      <c r="K769" s="166" t="n"/>
      <c r="L769" s="168" t="n"/>
      <c r="M769" s="167">
        <f>H769*I769+J769+K769</f>
        <v/>
      </c>
      <c r="N769" s="167">
        <f>M769*L769</f>
        <v/>
      </c>
      <c r="O769" s="167">
        <f>M769+N769</f>
        <v/>
      </c>
      <c r="P769" s="164" t="n"/>
    </row>
    <row r="770">
      <c r="A770" s="173" t="n"/>
      <c r="B770" s="164" t="n"/>
      <c r="C770" s="164" t="n"/>
      <c r="D770" s="164" t="n"/>
      <c r="E770" s="164" t="n"/>
      <c r="F770" s="164" t="n"/>
      <c r="G770" s="164" t="n"/>
      <c r="H770" s="164" t="n"/>
      <c r="I770" s="166" t="n"/>
      <c r="J770" s="166" t="n"/>
      <c r="K770" s="166" t="n"/>
      <c r="L770" s="168" t="n"/>
      <c r="M770" s="167">
        <f>H770*I770+J770+K770</f>
        <v/>
      </c>
      <c r="N770" s="167">
        <f>M770*L770</f>
        <v/>
      </c>
      <c r="O770" s="167">
        <f>M770+N770</f>
        <v/>
      </c>
      <c r="P770" s="164" t="n"/>
    </row>
    <row r="771">
      <c r="A771" s="173" t="n"/>
      <c r="B771" s="164" t="n"/>
      <c r="C771" s="164" t="n"/>
      <c r="D771" s="164" t="n"/>
      <c r="E771" s="164" t="n"/>
      <c r="F771" s="164" t="n"/>
      <c r="G771" s="164" t="n"/>
      <c r="H771" s="164" t="n"/>
      <c r="I771" s="166" t="n"/>
      <c r="J771" s="166" t="n"/>
      <c r="K771" s="166" t="n"/>
      <c r="L771" s="168" t="n"/>
      <c r="M771" s="167">
        <f>H771*I771+J771+K771</f>
        <v/>
      </c>
      <c r="N771" s="167">
        <f>M771*L771</f>
        <v/>
      </c>
      <c r="O771" s="167">
        <f>M771+N771</f>
        <v/>
      </c>
      <c r="P771" s="164" t="n"/>
    </row>
    <row r="772">
      <c r="A772" s="173" t="n"/>
      <c r="B772" s="164" t="n"/>
      <c r="C772" s="164" t="n"/>
      <c r="D772" s="164" t="n"/>
      <c r="E772" s="164" t="n"/>
      <c r="F772" s="164" t="n"/>
      <c r="G772" s="164" t="n"/>
      <c r="H772" s="164" t="n"/>
      <c r="I772" s="166" t="n"/>
      <c r="J772" s="166" t="n"/>
      <c r="K772" s="166" t="n"/>
      <c r="L772" s="168" t="n"/>
      <c r="M772" s="167">
        <f>H772*I772+J772+K772</f>
        <v/>
      </c>
      <c r="N772" s="167">
        <f>M772*L772</f>
        <v/>
      </c>
      <c r="O772" s="167">
        <f>M772+N772</f>
        <v/>
      </c>
      <c r="P772" s="164" t="n"/>
    </row>
    <row r="773">
      <c r="A773" s="173" t="n"/>
      <c r="B773" s="164" t="n"/>
      <c r="C773" s="164" t="n"/>
      <c r="D773" s="164" t="n"/>
      <c r="E773" s="164" t="n"/>
      <c r="F773" s="164" t="n"/>
      <c r="G773" s="164" t="n"/>
      <c r="H773" s="164" t="n"/>
      <c r="I773" s="166" t="n"/>
      <c r="J773" s="166" t="n"/>
      <c r="K773" s="166" t="n"/>
      <c r="L773" s="168" t="n"/>
      <c r="M773" s="167">
        <f>H773*I773+J773+K773</f>
        <v/>
      </c>
      <c r="N773" s="167">
        <f>M773*L773</f>
        <v/>
      </c>
      <c r="O773" s="167">
        <f>M773+N773</f>
        <v/>
      </c>
      <c r="P773" s="164" t="n"/>
    </row>
    <row r="774">
      <c r="A774" s="173" t="n"/>
      <c r="B774" s="164" t="n"/>
      <c r="C774" s="164" t="n"/>
      <c r="D774" s="164" t="n"/>
      <c r="E774" s="164" t="n"/>
      <c r="F774" s="164" t="n"/>
      <c r="G774" s="164" t="n"/>
      <c r="H774" s="164" t="n"/>
      <c r="I774" s="166" t="n"/>
      <c r="J774" s="166" t="n"/>
      <c r="K774" s="166" t="n"/>
      <c r="L774" s="168" t="n"/>
      <c r="M774" s="167">
        <f>H774*I774+J774+K774</f>
        <v/>
      </c>
      <c r="N774" s="167">
        <f>M774*L774</f>
        <v/>
      </c>
      <c r="O774" s="167">
        <f>M774+N774</f>
        <v/>
      </c>
      <c r="P774" s="164" t="n"/>
    </row>
    <row r="775">
      <c r="A775" s="173" t="n"/>
      <c r="B775" s="164" t="n"/>
      <c r="C775" s="164" t="n"/>
      <c r="D775" s="164" t="n"/>
      <c r="E775" s="164" t="n"/>
      <c r="F775" s="164" t="n"/>
      <c r="G775" s="164" t="n"/>
      <c r="H775" s="164" t="n"/>
      <c r="I775" s="166" t="n"/>
      <c r="J775" s="166" t="n"/>
      <c r="K775" s="166" t="n"/>
      <c r="L775" s="168" t="n"/>
      <c r="M775" s="167">
        <f>H775*I775+J775+K775</f>
        <v/>
      </c>
      <c r="N775" s="167">
        <f>M775*L775</f>
        <v/>
      </c>
      <c r="O775" s="167">
        <f>M775+N775</f>
        <v/>
      </c>
      <c r="P775" s="164" t="n"/>
    </row>
    <row r="776">
      <c r="A776" s="173" t="n"/>
      <c r="B776" s="164" t="n"/>
      <c r="C776" s="164" t="n"/>
      <c r="D776" s="164" t="n"/>
      <c r="E776" s="164" t="n"/>
      <c r="F776" s="164" t="n"/>
      <c r="G776" s="164" t="n"/>
      <c r="H776" s="164" t="n"/>
      <c r="I776" s="166" t="n"/>
      <c r="J776" s="166" t="n"/>
      <c r="K776" s="166" t="n"/>
      <c r="L776" s="168" t="n"/>
      <c r="M776" s="167">
        <f>H776*I776+J776+K776</f>
        <v/>
      </c>
      <c r="N776" s="167">
        <f>M776*L776</f>
        <v/>
      </c>
      <c r="O776" s="167">
        <f>M776+N776</f>
        <v/>
      </c>
      <c r="P776" s="164" t="n"/>
    </row>
    <row r="777">
      <c r="A777" s="173" t="n"/>
      <c r="B777" s="164" t="n"/>
      <c r="C777" s="164" t="n"/>
      <c r="D777" s="164" t="n"/>
      <c r="E777" s="164" t="n"/>
      <c r="F777" s="164" t="n"/>
      <c r="G777" s="164" t="n"/>
      <c r="H777" s="164" t="n"/>
      <c r="I777" s="166" t="n"/>
      <c r="J777" s="166" t="n"/>
      <c r="K777" s="166" t="n"/>
      <c r="L777" s="168" t="n"/>
      <c r="M777" s="167">
        <f>H777*I777+J777+K777</f>
        <v/>
      </c>
      <c r="N777" s="167">
        <f>M777*L777</f>
        <v/>
      </c>
      <c r="O777" s="167">
        <f>M777+N777</f>
        <v/>
      </c>
      <c r="P777" s="164" t="n"/>
    </row>
    <row r="778">
      <c r="A778" s="173" t="n"/>
      <c r="B778" s="164" t="n"/>
      <c r="C778" s="164" t="n"/>
      <c r="D778" s="164" t="n"/>
      <c r="E778" s="164" t="n"/>
      <c r="F778" s="164" t="n"/>
      <c r="G778" s="164" t="n"/>
      <c r="H778" s="164" t="n"/>
      <c r="I778" s="166" t="n"/>
      <c r="J778" s="166" t="n"/>
      <c r="K778" s="166" t="n"/>
      <c r="L778" s="168" t="n"/>
      <c r="M778" s="167">
        <f>H778*I778+J778+K778</f>
        <v/>
      </c>
      <c r="N778" s="167">
        <f>M778*L778</f>
        <v/>
      </c>
      <c r="O778" s="167">
        <f>M778+N778</f>
        <v/>
      </c>
      <c r="P778" s="164" t="n"/>
    </row>
    <row r="779">
      <c r="A779" s="173" t="n"/>
      <c r="B779" s="164" t="n"/>
      <c r="C779" s="164" t="n"/>
      <c r="D779" s="164" t="n"/>
      <c r="E779" s="164" t="n"/>
      <c r="F779" s="164" t="n"/>
      <c r="G779" s="164" t="n"/>
      <c r="H779" s="164" t="n"/>
      <c r="I779" s="166" t="n"/>
      <c r="J779" s="166" t="n"/>
      <c r="K779" s="166" t="n"/>
      <c r="L779" s="168" t="n"/>
      <c r="M779" s="167">
        <f>H779*I779+J779+K779</f>
        <v/>
      </c>
      <c r="N779" s="167">
        <f>M779*L779</f>
        <v/>
      </c>
      <c r="O779" s="167">
        <f>M779+N779</f>
        <v/>
      </c>
      <c r="P779" s="164" t="n"/>
    </row>
    <row r="780">
      <c r="A780" s="173" t="n"/>
      <c r="B780" s="164" t="n"/>
      <c r="C780" s="164" t="n"/>
      <c r="D780" s="164" t="n"/>
      <c r="E780" s="164" t="n"/>
      <c r="F780" s="164" t="n"/>
      <c r="G780" s="164" t="n"/>
      <c r="H780" s="164" t="n"/>
      <c r="I780" s="166" t="n"/>
      <c r="J780" s="166" t="n"/>
      <c r="K780" s="166" t="n"/>
      <c r="L780" s="168" t="n"/>
      <c r="M780" s="167">
        <f>H780*I780+J780+K780</f>
        <v/>
      </c>
      <c r="N780" s="167">
        <f>M780*L780</f>
        <v/>
      </c>
      <c r="O780" s="167">
        <f>M780+N780</f>
        <v/>
      </c>
      <c r="P780" s="164" t="n"/>
    </row>
    <row r="781">
      <c r="A781" s="173" t="n"/>
      <c r="B781" s="164" t="n"/>
      <c r="C781" s="164" t="n"/>
      <c r="D781" s="164" t="n"/>
      <c r="E781" s="164" t="n"/>
      <c r="F781" s="164" t="n"/>
      <c r="G781" s="164" t="n"/>
      <c r="H781" s="164" t="n"/>
      <c r="I781" s="166" t="n"/>
      <c r="J781" s="166" t="n"/>
      <c r="K781" s="166" t="n"/>
      <c r="L781" s="168" t="n"/>
      <c r="M781" s="167">
        <f>H781*I781+J781+K781</f>
        <v/>
      </c>
      <c r="N781" s="167">
        <f>M781*L781</f>
        <v/>
      </c>
      <c r="O781" s="167">
        <f>M781+N781</f>
        <v/>
      </c>
      <c r="P781" s="164" t="n"/>
    </row>
    <row r="782">
      <c r="A782" s="173" t="n"/>
      <c r="B782" s="164" t="n"/>
      <c r="C782" s="164" t="n"/>
      <c r="D782" s="164" t="n"/>
      <c r="E782" s="164" t="n"/>
      <c r="F782" s="164" t="n"/>
      <c r="G782" s="164" t="n"/>
      <c r="H782" s="164" t="n"/>
      <c r="I782" s="166" t="n"/>
      <c r="J782" s="166" t="n"/>
      <c r="K782" s="166" t="n"/>
      <c r="L782" s="168" t="n"/>
      <c r="M782" s="167">
        <f>H782*I782+J782+K782</f>
        <v/>
      </c>
      <c r="N782" s="167">
        <f>M782*L782</f>
        <v/>
      </c>
      <c r="O782" s="167">
        <f>M782+N782</f>
        <v/>
      </c>
      <c r="P782" s="164" t="n"/>
    </row>
    <row r="783">
      <c r="A783" s="173" t="n"/>
      <c r="B783" s="164" t="n"/>
      <c r="C783" s="164" t="n"/>
      <c r="D783" s="164" t="n"/>
      <c r="E783" s="164" t="n"/>
      <c r="F783" s="164" t="n"/>
      <c r="G783" s="164" t="n"/>
      <c r="H783" s="164" t="n"/>
      <c r="I783" s="166" t="n"/>
      <c r="J783" s="166" t="n"/>
      <c r="K783" s="166" t="n"/>
      <c r="L783" s="168" t="n"/>
      <c r="M783" s="167">
        <f>H783*I783+J783+K783</f>
        <v/>
      </c>
      <c r="N783" s="167">
        <f>M783*L783</f>
        <v/>
      </c>
      <c r="O783" s="167">
        <f>M783+N783</f>
        <v/>
      </c>
      <c r="P783" s="164" t="n"/>
    </row>
    <row r="784">
      <c r="A784" s="173" t="n"/>
      <c r="B784" s="164" t="n"/>
      <c r="C784" s="164" t="n"/>
      <c r="D784" s="164" t="n"/>
      <c r="E784" s="164" t="n"/>
      <c r="F784" s="164" t="n"/>
      <c r="G784" s="164" t="n"/>
      <c r="H784" s="164" t="n"/>
      <c r="I784" s="166" t="n"/>
      <c r="J784" s="166" t="n"/>
      <c r="K784" s="166" t="n"/>
      <c r="L784" s="168" t="n"/>
      <c r="M784" s="167">
        <f>H784*I784+J784+K784</f>
        <v/>
      </c>
      <c r="N784" s="167">
        <f>M784*L784</f>
        <v/>
      </c>
      <c r="O784" s="167">
        <f>M784+N784</f>
        <v/>
      </c>
      <c r="P784" s="164" t="n"/>
    </row>
    <row r="785">
      <c r="A785" s="173" t="n"/>
      <c r="B785" s="164" t="n"/>
      <c r="C785" s="164" t="n"/>
      <c r="D785" s="164" t="n"/>
      <c r="E785" s="164" t="n"/>
      <c r="F785" s="164" t="n"/>
      <c r="G785" s="164" t="n"/>
      <c r="H785" s="164" t="n"/>
      <c r="I785" s="166" t="n"/>
      <c r="J785" s="166" t="n"/>
      <c r="K785" s="166" t="n"/>
      <c r="L785" s="168" t="n"/>
      <c r="M785" s="167">
        <f>H785*I785+J785+K785</f>
        <v/>
      </c>
      <c r="N785" s="167">
        <f>M785*L785</f>
        <v/>
      </c>
      <c r="O785" s="167">
        <f>M785+N785</f>
        <v/>
      </c>
      <c r="P785" s="164" t="n"/>
    </row>
    <row r="786">
      <c r="A786" s="173" t="n"/>
      <c r="B786" s="164" t="n"/>
      <c r="C786" s="164" t="n"/>
      <c r="D786" s="164" t="n"/>
      <c r="E786" s="164" t="n"/>
      <c r="F786" s="164" t="n"/>
      <c r="G786" s="164" t="n"/>
      <c r="H786" s="164" t="n"/>
      <c r="I786" s="166" t="n"/>
      <c r="J786" s="166" t="n"/>
      <c r="K786" s="166" t="n"/>
      <c r="L786" s="168" t="n"/>
      <c r="M786" s="167">
        <f>H786*I786+J786+K786</f>
        <v/>
      </c>
      <c r="N786" s="167">
        <f>M786*L786</f>
        <v/>
      </c>
      <c r="O786" s="167">
        <f>M786+N786</f>
        <v/>
      </c>
      <c r="P786" s="164" t="n"/>
    </row>
    <row r="787">
      <c r="A787" s="173" t="n"/>
      <c r="B787" s="164" t="n"/>
      <c r="C787" s="164" t="n"/>
      <c r="D787" s="164" t="n"/>
      <c r="E787" s="164" t="n"/>
      <c r="F787" s="164" t="n"/>
      <c r="G787" s="164" t="n"/>
      <c r="H787" s="164" t="n"/>
      <c r="I787" s="166" t="n"/>
      <c r="J787" s="166" t="n"/>
      <c r="K787" s="166" t="n"/>
      <c r="L787" s="168" t="n"/>
      <c r="M787" s="167">
        <f>H787*I787+J787+K787</f>
        <v/>
      </c>
      <c r="N787" s="167">
        <f>M787*L787</f>
        <v/>
      </c>
      <c r="O787" s="167">
        <f>M787+N787</f>
        <v/>
      </c>
      <c r="P787" s="164" t="n"/>
    </row>
    <row r="788">
      <c r="A788" s="173" t="n"/>
      <c r="B788" s="164" t="n"/>
      <c r="C788" s="164" t="n"/>
      <c r="D788" s="164" t="n"/>
      <c r="E788" s="164" t="n"/>
      <c r="F788" s="164" t="n"/>
      <c r="G788" s="164" t="n"/>
      <c r="H788" s="164" t="n"/>
      <c r="I788" s="166" t="n"/>
      <c r="J788" s="166" t="n"/>
      <c r="K788" s="166" t="n"/>
      <c r="L788" s="168" t="n"/>
      <c r="M788" s="167">
        <f>H788*I788+J788+K788</f>
        <v/>
      </c>
      <c r="N788" s="167">
        <f>M788*L788</f>
        <v/>
      </c>
      <c r="O788" s="167">
        <f>M788+N788</f>
        <v/>
      </c>
      <c r="P788" s="164" t="n"/>
    </row>
    <row r="789">
      <c r="A789" s="173" t="n"/>
      <c r="B789" s="164" t="n"/>
      <c r="C789" s="164" t="n"/>
      <c r="D789" s="164" t="n"/>
      <c r="E789" s="164" t="n"/>
      <c r="F789" s="164" t="n"/>
      <c r="G789" s="164" t="n"/>
      <c r="H789" s="164" t="n"/>
      <c r="I789" s="166" t="n"/>
      <c r="J789" s="166" t="n"/>
      <c r="K789" s="166" t="n"/>
      <c r="L789" s="168" t="n"/>
      <c r="M789" s="167">
        <f>H789*I789+J789+K789</f>
        <v/>
      </c>
      <c r="N789" s="167">
        <f>M789*L789</f>
        <v/>
      </c>
      <c r="O789" s="167">
        <f>M789+N789</f>
        <v/>
      </c>
      <c r="P789" s="164" t="n"/>
    </row>
    <row r="790">
      <c r="A790" s="173" t="n"/>
      <c r="B790" s="164" t="n"/>
      <c r="C790" s="164" t="n"/>
      <c r="D790" s="164" t="n"/>
      <c r="E790" s="164" t="n"/>
      <c r="F790" s="164" t="n"/>
      <c r="G790" s="164" t="n"/>
      <c r="H790" s="164" t="n"/>
      <c r="I790" s="166" t="n"/>
      <c r="J790" s="166" t="n"/>
      <c r="K790" s="166" t="n"/>
      <c r="L790" s="168" t="n"/>
      <c r="M790" s="167">
        <f>H790*I790+J790+K790</f>
        <v/>
      </c>
      <c r="N790" s="167">
        <f>M790*L790</f>
        <v/>
      </c>
      <c r="O790" s="167">
        <f>M790+N790</f>
        <v/>
      </c>
      <c r="P790" s="164" t="n"/>
    </row>
    <row r="791">
      <c r="A791" s="173" t="n"/>
      <c r="B791" s="164" t="n"/>
      <c r="C791" s="164" t="n"/>
      <c r="D791" s="164" t="n"/>
      <c r="E791" s="164" t="n"/>
      <c r="F791" s="164" t="n"/>
      <c r="G791" s="164" t="n"/>
      <c r="H791" s="164" t="n"/>
      <c r="I791" s="166" t="n"/>
      <c r="J791" s="166" t="n"/>
      <c r="K791" s="166" t="n"/>
      <c r="L791" s="168" t="n"/>
      <c r="M791" s="167">
        <f>H791*I791+J791+K791</f>
        <v/>
      </c>
      <c r="N791" s="167">
        <f>M791*L791</f>
        <v/>
      </c>
      <c r="O791" s="167">
        <f>M791+N791</f>
        <v/>
      </c>
      <c r="P791" s="164" t="n"/>
    </row>
    <row r="792">
      <c r="A792" s="173" t="n"/>
      <c r="B792" s="164" t="n"/>
      <c r="C792" s="164" t="n"/>
      <c r="D792" s="164" t="n"/>
      <c r="E792" s="164" t="n"/>
      <c r="F792" s="164" t="n"/>
      <c r="G792" s="164" t="n"/>
      <c r="H792" s="164" t="n"/>
      <c r="I792" s="166" t="n"/>
      <c r="J792" s="166" t="n"/>
      <c r="K792" s="166" t="n"/>
      <c r="L792" s="168" t="n"/>
      <c r="M792" s="167">
        <f>H792*I792+J792+K792</f>
        <v/>
      </c>
      <c r="N792" s="167">
        <f>M792*L792</f>
        <v/>
      </c>
      <c r="O792" s="167">
        <f>M792+N792</f>
        <v/>
      </c>
      <c r="P792" s="164" t="n"/>
    </row>
    <row r="793">
      <c r="A793" s="173" t="n"/>
      <c r="B793" s="164" t="n"/>
      <c r="C793" s="164" t="n"/>
      <c r="D793" s="164" t="n"/>
      <c r="E793" s="164" t="n"/>
      <c r="F793" s="164" t="n"/>
      <c r="G793" s="164" t="n"/>
      <c r="H793" s="164" t="n"/>
      <c r="I793" s="166" t="n"/>
      <c r="J793" s="166" t="n"/>
      <c r="K793" s="166" t="n"/>
      <c r="L793" s="168" t="n"/>
      <c r="M793" s="167">
        <f>H793*I793+J793+K793</f>
        <v/>
      </c>
      <c r="N793" s="167">
        <f>M793*L793</f>
        <v/>
      </c>
      <c r="O793" s="167">
        <f>M793+N793</f>
        <v/>
      </c>
      <c r="P793" s="164" t="n"/>
    </row>
    <row r="794">
      <c r="A794" s="173" t="n"/>
      <c r="B794" s="164" t="n"/>
      <c r="C794" s="164" t="n"/>
      <c r="D794" s="164" t="n"/>
      <c r="E794" s="164" t="n"/>
      <c r="F794" s="164" t="n"/>
      <c r="G794" s="164" t="n"/>
      <c r="H794" s="164" t="n"/>
      <c r="I794" s="166" t="n"/>
      <c r="J794" s="166" t="n"/>
      <c r="K794" s="166" t="n"/>
      <c r="L794" s="168" t="n"/>
      <c r="M794" s="167">
        <f>H794*I794+J794+K794</f>
        <v/>
      </c>
      <c r="N794" s="167">
        <f>M794*L794</f>
        <v/>
      </c>
      <c r="O794" s="167">
        <f>M794+N794</f>
        <v/>
      </c>
      <c r="P794" s="164" t="n"/>
    </row>
    <row r="795">
      <c r="A795" s="173" t="n"/>
      <c r="B795" s="164" t="n"/>
      <c r="C795" s="164" t="n"/>
      <c r="D795" s="164" t="n"/>
      <c r="E795" s="164" t="n"/>
      <c r="F795" s="164" t="n"/>
      <c r="G795" s="164" t="n"/>
      <c r="H795" s="164" t="n"/>
      <c r="I795" s="166" t="n"/>
      <c r="J795" s="166" t="n"/>
      <c r="K795" s="166" t="n"/>
      <c r="L795" s="168" t="n"/>
      <c r="M795" s="167">
        <f>H795*I795+J795+K795</f>
        <v/>
      </c>
      <c r="N795" s="167">
        <f>M795*L795</f>
        <v/>
      </c>
      <c r="O795" s="167">
        <f>M795+N795</f>
        <v/>
      </c>
      <c r="P795" s="164" t="n"/>
    </row>
    <row r="796">
      <c r="A796" s="173" t="n"/>
      <c r="B796" s="164" t="n"/>
      <c r="C796" s="164" t="n"/>
      <c r="D796" s="164" t="n"/>
      <c r="E796" s="164" t="n"/>
      <c r="F796" s="164" t="n"/>
      <c r="G796" s="164" t="n"/>
      <c r="H796" s="164" t="n"/>
      <c r="I796" s="166" t="n"/>
      <c r="J796" s="166" t="n"/>
      <c r="K796" s="166" t="n"/>
      <c r="L796" s="168" t="n"/>
      <c r="M796" s="167">
        <f>H796*I796+J796+K796</f>
        <v/>
      </c>
      <c r="N796" s="167">
        <f>M796*L796</f>
        <v/>
      </c>
      <c r="O796" s="167">
        <f>M796+N796</f>
        <v/>
      </c>
      <c r="P796" s="164" t="n"/>
    </row>
    <row r="797">
      <c r="A797" s="173" t="n"/>
      <c r="B797" s="164" t="n"/>
      <c r="C797" s="164" t="n"/>
      <c r="D797" s="164" t="n"/>
      <c r="E797" s="164" t="n"/>
      <c r="F797" s="164" t="n"/>
      <c r="G797" s="164" t="n"/>
      <c r="H797" s="164" t="n"/>
      <c r="I797" s="166" t="n"/>
      <c r="J797" s="166" t="n"/>
      <c r="K797" s="166" t="n"/>
      <c r="L797" s="168" t="n"/>
      <c r="M797" s="167">
        <f>H797*I797+J797+K797</f>
        <v/>
      </c>
      <c r="N797" s="167">
        <f>M797*L797</f>
        <v/>
      </c>
      <c r="O797" s="167">
        <f>M797+N797</f>
        <v/>
      </c>
      <c r="P797" s="164" t="n"/>
    </row>
    <row r="798">
      <c r="A798" s="173" t="n"/>
      <c r="B798" s="164" t="n"/>
      <c r="C798" s="164" t="n"/>
      <c r="D798" s="164" t="n"/>
      <c r="E798" s="164" t="n"/>
      <c r="F798" s="164" t="n"/>
      <c r="G798" s="164" t="n"/>
      <c r="H798" s="164" t="n"/>
      <c r="I798" s="166" t="n"/>
      <c r="J798" s="166" t="n"/>
      <c r="K798" s="166" t="n"/>
      <c r="L798" s="168" t="n"/>
      <c r="M798" s="167">
        <f>H798*I798+J798+K798</f>
        <v/>
      </c>
      <c r="N798" s="167">
        <f>M798*L798</f>
        <v/>
      </c>
      <c r="O798" s="167">
        <f>M798+N798</f>
        <v/>
      </c>
      <c r="P798" s="164" t="n"/>
    </row>
    <row r="799">
      <c r="A799" s="173" t="n"/>
      <c r="B799" s="164" t="n"/>
      <c r="C799" s="164" t="n"/>
      <c r="D799" s="164" t="n"/>
      <c r="E799" s="164" t="n"/>
      <c r="F799" s="164" t="n"/>
      <c r="G799" s="164" t="n"/>
      <c r="H799" s="164" t="n"/>
      <c r="I799" s="166" t="n"/>
      <c r="J799" s="166" t="n"/>
      <c r="K799" s="166" t="n"/>
      <c r="L799" s="168" t="n"/>
      <c r="M799" s="167">
        <f>H799*I799+J799+K799</f>
        <v/>
      </c>
      <c r="N799" s="167">
        <f>M799*L799</f>
        <v/>
      </c>
      <c r="O799" s="167">
        <f>M799+N799</f>
        <v/>
      </c>
      <c r="P799" s="164" t="n"/>
    </row>
    <row r="800">
      <c r="A800" s="173" t="n"/>
      <c r="B800" s="164" t="n"/>
      <c r="C800" s="164" t="n"/>
      <c r="D800" s="164" t="n"/>
      <c r="E800" s="164" t="n"/>
      <c r="F800" s="164" t="n"/>
      <c r="G800" s="164" t="n"/>
      <c r="H800" s="164" t="n"/>
      <c r="I800" s="166" t="n"/>
      <c r="J800" s="166" t="n"/>
      <c r="K800" s="166" t="n"/>
      <c r="L800" s="168" t="n"/>
      <c r="M800" s="167">
        <f>H800*I800+J800+K800</f>
        <v/>
      </c>
      <c r="N800" s="167">
        <f>M800*L800</f>
        <v/>
      </c>
      <c r="O800" s="167">
        <f>M800+N800</f>
        <v/>
      </c>
      <c r="P800" s="164" t="n"/>
    </row>
    <row r="801">
      <c r="A801" s="173" t="n"/>
      <c r="B801" s="164" t="n"/>
      <c r="C801" s="164" t="n"/>
      <c r="D801" s="164" t="n"/>
      <c r="E801" s="164" t="n"/>
      <c r="F801" s="164" t="n"/>
      <c r="G801" s="164" t="n"/>
      <c r="H801" s="164" t="n"/>
      <c r="I801" s="166" t="n"/>
      <c r="J801" s="166" t="n"/>
      <c r="K801" s="166" t="n"/>
      <c r="L801" s="168" t="n"/>
      <c r="M801" s="167">
        <f>H801*I801+J801+K801</f>
        <v/>
      </c>
      <c r="N801" s="167">
        <f>M801*L801</f>
        <v/>
      </c>
      <c r="O801" s="167">
        <f>M801+N801</f>
        <v/>
      </c>
      <c r="P801" s="164" t="n"/>
    </row>
    <row r="802">
      <c r="A802" s="173" t="n"/>
      <c r="B802" s="164" t="n"/>
      <c r="C802" s="164" t="n"/>
      <c r="D802" s="164" t="n"/>
      <c r="E802" s="164" t="n"/>
      <c r="F802" s="164" t="n"/>
      <c r="G802" s="164" t="n"/>
      <c r="H802" s="164" t="n"/>
      <c r="I802" s="166" t="n"/>
      <c r="J802" s="166" t="n"/>
      <c r="K802" s="166" t="n"/>
      <c r="L802" s="168" t="n"/>
      <c r="M802" s="167">
        <f>H802*I802+J802+K802</f>
        <v/>
      </c>
      <c r="N802" s="167">
        <f>M802*L802</f>
        <v/>
      </c>
      <c r="O802" s="167">
        <f>M802+N802</f>
        <v/>
      </c>
      <c r="P802" s="164" t="n"/>
    </row>
    <row r="803">
      <c r="A803" s="173" t="n"/>
      <c r="B803" s="164" t="n"/>
      <c r="C803" s="164" t="n"/>
      <c r="D803" s="164" t="n"/>
      <c r="E803" s="164" t="n"/>
      <c r="F803" s="164" t="n"/>
      <c r="G803" s="164" t="n"/>
      <c r="H803" s="164" t="n"/>
      <c r="I803" s="166" t="n"/>
      <c r="J803" s="166" t="n"/>
      <c r="K803" s="166" t="n"/>
      <c r="L803" s="168" t="n"/>
      <c r="M803" s="167">
        <f>H803*I803+J803+K803</f>
        <v/>
      </c>
      <c r="N803" s="167">
        <f>M803*L803</f>
        <v/>
      </c>
      <c r="O803" s="167">
        <f>M803+N803</f>
        <v/>
      </c>
      <c r="P803" s="164" t="n"/>
    </row>
    <row r="804">
      <c r="A804" s="173" t="n"/>
      <c r="B804" s="164" t="n"/>
      <c r="C804" s="164" t="n"/>
      <c r="D804" s="164" t="n"/>
      <c r="E804" s="164" t="n"/>
      <c r="F804" s="164" t="n"/>
      <c r="G804" s="164" t="n"/>
      <c r="H804" s="164" t="n"/>
      <c r="I804" s="166" t="n"/>
      <c r="J804" s="166" t="n"/>
      <c r="K804" s="166" t="n"/>
      <c r="L804" s="168" t="n"/>
      <c r="M804" s="167">
        <f>H804*I804+J804+K804</f>
        <v/>
      </c>
      <c r="N804" s="167">
        <f>M804*L804</f>
        <v/>
      </c>
      <c r="O804" s="167">
        <f>M804+N804</f>
        <v/>
      </c>
      <c r="P804" s="164" t="n"/>
    </row>
    <row r="805">
      <c r="A805" s="173" t="n"/>
      <c r="B805" s="164" t="n"/>
      <c r="C805" s="164" t="n"/>
      <c r="D805" s="164" t="n"/>
      <c r="E805" s="164" t="n"/>
      <c r="F805" s="164" t="n"/>
      <c r="G805" s="164" t="n"/>
      <c r="H805" s="164" t="n"/>
      <c r="I805" s="166" t="n"/>
      <c r="J805" s="166" t="n"/>
      <c r="K805" s="166" t="n"/>
      <c r="L805" s="168" t="n"/>
      <c r="M805" s="167">
        <f>H805*I805+J805+K805</f>
        <v/>
      </c>
      <c r="N805" s="167">
        <f>M805*L805</f>
        <v/>
      </c>
      <c r="O805" s="167">
        <f>M805+N805</f>
        <v/>
      </c>
      <c r="P805" s="164" t="n"/>
    </row>
    <row r="806">
      <c r="A806" s="173" t="n"/>
      <c r="B806" s="164" t="n"/>
      <c r="C806" s="164" t="n"/>
      <c r="D806" s="164" t="n"/>
      <c r="E806" s="164" t="n"/>
      <c r="F806" s="164" t="n"/>
      <c r="G806" s="164" t="n"/>
      <c r="H806" s="164" t="n"/>
      <c r="I806" s="166" t="n"/>
      <c r="J806" s="166" t="n"/>
      <c r="K806" s="166" t="n"/>
      <c r="L806" s="168" t="n"/>
      <c r="M806" s="167">
        <f>H806*I806+J806+K806</f>
        <v/>
      </c>
      <c r="N806" s="167">
        <f>M806*L806</f>
        <v/>
      </c>
      <c r="O806" s="167">
        <f>M806+N806</f>
        <v/>
      </c>
      <c r="P806" s="164" t="n"/>
    </row>
    <row r="807">
      <c r="A807" s="173" t="n"/>
      <c r="B807" s="164" t="n"/>
      <c r="C807" s="164" t="n"/>
      <c r="D807" s="164" t="n"/>
      <c r="E807" s="164" t="n"/>
      <c r="F807" s="164" t="n"/>
      <c r="G807" s="164" t="n"/>
      <c r="H807" s="164" t="n"/>
      <c r="I807" s="166" t="n"/>
      <c r="J807" s="166" t="n"/>
      <c r="K807" s="166" t="n"/>
      <c r="L807" s="168" t="n"/>
      <c r="M807" s="167">
        <f>H807*I807+J807+K807</f>
        <v/>
      </c>
      <c r="N807" s="167">
        <f>M807*L807</f>
        <v/>
      </c>
      <c r="O807" s="167">
        <f>M807+N807</f>
        <v/>
      </c>
      <c r="P807" s="164" t="n"/>
    </row>
    <row r="808">
      <c r="A808" s="173" t="n"/>
      <c r="B808" s="164" t="n"/>
      <c r="C808" s="164" t="n"/>
      <c r="D808" s="164" t="n"/>
      <c r="E808" s="164" t="n"/>
      <c r="F808" s="164" t="n"/>
      <c r="G808" s="164" t="n"/>
      <c r="H808" s="164" t="n"/>
      <c r="I808" s="166" t="n"/>
      <c r="J808" s="166" t="n"/>
      <c r="K808" s="166" t="n"/>
      <c r="L808" s="168" t="n"/>
      <c r="M808" s="167">
        <f>H808*I808+J808+K808</f>
        <v/>
      </c>
      <c r="N808" s="167">
        <f>M808*L808</f>
        <v/>
      </c>
      <c r="O808" s="167">
        <f>M808+N808</f>
        <v/>
      </c>
      <c r="P808" s="164" t="n"/>
    </row>
    <row r="809">
      <c r="A809" s="173" t="n"/>
      <c r="B809" s="164" t="n"/>
      <c r="C809" s="164" t="n"/>
      <c r="D809" s="164" t="n"/>
      <c r="E809" s="164" t="n"/>
      <c r="F809" s="164" t="n"/>
      <c r="G809" s="164" t="n"/>
      <c r="H809" s="164" t="n"/>
      <c r="I809" s="166" t="n"/>
      <c r="J809" s="166" t="n"/>
      <c r="K809" s="166" t="n"/>
      <c r="L809" s="168" t="n"/>
      <c r="M809" s="167">
        <f>H809*I809+J809+K809</f>
        <v/>
      </c>
      <c r="N809" s="167">
        <f>M809*L809</f>
        <v/>
      </c>
      <c r="O809" s="167">
        <f>M809+N809</f>
        <v/>
      </c>
      <c r="P809" s="164" t="n"/>
    </row>
    <row r="810">
      <c r="A810" s="173" t="n"/>
      <c r="B810" s="164" t="n"/>
      <c r="C810" s="164" t="n"/>
      <c r="D810" s="164" t="n"/>
      <c r="E810" s="164" t="n"/>
      <c r="F810" s="164" t="n"/>
      <c r="G810" s="164" t="n"/>
      <c r="H810" s="164" t="n"/>
      <c r="I810" s="166" t="n"/>
      <c r="J810" s="166" t="n"/>
      <c r="K810" s="166" t="n"/>
      <c r="L810" s="168" t="n"/>
      <c r="M810" s="167">
        <f>H810*I810+J810+K810</f>
        <v/>
      </c>
      <c r="N810" s="167">
        <f>M810*L810</f>
        <v/>
      </c>
      <c r="O810" s="167">
        <f>M810+N810</f>
        <v/>
      </c>
      <c r="P810" s="164" t="n"/>
    </row>
    <row r="811">
      <c r="A811" s="173" t="n"/>
      <c r="B811" s="164" t="n"/>
      <c r="C811" s="164" t="n"/>
      <c r="D811" s="164" t="n"/>
      <c r="E811" s="164" t="n"/>
      <c r="F811" s="164" t="n"/>
      <c r="G811" s="164" t="n"/>
      <c r="H811" s="164" t="n"/>
      <c r="I811" s="166" t="n"/>
      <c r="J811" s="166" t="n"/>
      <c r="K811" s="166" t="n"/>
      <c r="L811" s="168" t="n"/>
      <c r="M811" s="167">
        <f>H811*I811+J811+K811</f>
        <v/>
      </c>
      <c r="N811" s="167">
        <f>M811*L811</f>
        <v/>
      </c>
      <c r="O811" s="167">
        <f>M811+N811</f>
        <v/>
      </c>
      <c r="P811" s="164" t="n"/>
    </row>
    <row r="812">
      <c r="A812" s="173" t="n"/>
      <c r="B812" s="164" t="n"/>
      <c r="C812" s="164" t="n"/>
      <c r="D812" s="164" t="n"/>
      <c r="E812" s="164" t="n"/>
      <c r="F812" s="164" t="n"/>
      <c r="G812" s="164" t="n"/>
      <c r="H812" s="164" t="n"/>
      <c r="I812" s="166" t="n"/>
      <c r="J812" s="166" t="n"/>
      <c r="K812" s="166" t="n"/>
      <c r="L812" s="168" t="n"/>
      <c r="M812" s="167">
        <f>H812*I812+J812+K812</f>
        <v/>
      </c>
      <c r="N812" s="167">
        <f>M812*L812</f>
        <v/>
      </c>
      <c r="O812" s="167">
        <f>M812+N812</f>
        <v/>
      </c>
      <c r="P812" s="164" t="n"/>
    </row>
    <row r="813">
      <c r="A813" s="173" t="n"/>
      <c r="B813" s="164" t="n"/>
      <c r="C813" s="164" t="n"/>
      <c r="D813" s="164" t="n"/>
      <c r="E813" s="164" t="n"/>
      <c r="F813" s="164" t="n"/>
      <c r="G813" s="164" t="n"/>
      <c r="H813" s="164" t="n"/>
      <c r="I813" s="166" t="n"/>
      <c r="J813" s="166" t="n"/>
      <c r="K813" s="166" t="n"/>
      <c r="L813" s="168" t="n"/>
      <c r="M813" s="167">
        <f>H813*I813+J813+K813</f>
        <v/>
      </c>
      <c r="N813" s="167">
        <f>M813*L813</f>
        <v/>
      </c>
      <c r="O813" s="167">
        <f>M813+N813</f>
        <v/>
      </c>
      <c r="P813" s="164" t="n"/>
    </row>
    <row r="814">
      <c r="A814" s="173" t="n"/>
      <c r="B814" s="164" t="n"/>
      <c r="C814" s="164" t="n"/>
      <c r="D814" s="164" t="n"/>
      <c r="E814" s="164" t="n"/>
      <c r="F814" s="164" t="n"/>
      <c r="G814" s="164" t="n"/>
      <c r="H814" s="164" t="n"/>
      <c r="I814" s="166" t="n"/>
      <c r="J814" s="166" t="n"/>
      <c r="K814" s="166" t="n"/>
      <c r="L814" s="168" t="n"/>
      <c r="M814" s="167">
        <f>H814*I814+J814+K814</f>
        <v/>
      </c>
      <c r="N814" s="167">
        <f>M814*L814</f>
        <v/>
      </c>
      <c r="O814" s="167">
        <f>M814+N814</f>
        <v/>
      </c>
      <c r="P814" s="164" t="n"/>
    </row>
    <row r="815">
      <c r="A815" s="173" t="n"/>
      <c r="B815" s="164" t="n"/>
      <c r="C815" s="164" t="n"/>
      <c r="D815" s="164" t="n"/>
      <c r="E815" s="164" t="n"/>
      <c r="F815" s="164" t="n"/>
      <c r="G815" s="164" t="n"/>
      <c r="H815" s="164" t="n"/>
      <c r="I815" s="166" t="n"/>
      <c r="J815" s="166" t="n"/>
      <c r="K815" s="166" t="n"/>
      <c r="L815" s="168" t="n"/>
      <c r="M815" s="167">
        <f>H815*I815+J815+K815</f>
        <v/>
      </c>
      <c r="N815" s="167">
        <f>M815*L815</f>
        <v/>
      </c>
      <c r="O815" s="167">
        <f>M815+N815</f>
        <v/>
      </c>
      <c r="P815" s="164" t="n"/>
    </row>
    <row r="816">
      <c r="A816" s="173" t="n"/>
      <c r="B816" s="164" t="n"/>
      <c r="C816" s="164" t="n"/>
      <c r="D816" s="164" t="n"/>
      <c r="E816" s="164" t="n"/>
      <c r="F816" s="164" t="n"/>
      <c r="G816" s="164" t="n"/>
      <c r="H816" s="164" t="n"/>
      <c r="I816" s="166" t="n"/>
      <c r="J816" s="166" t="n"/>
      <c r="K816" s="166" t="n"/>
      <c r="L816" s="168" t="n"/>
      <c r="M816" s="167">
        <f>H816*I816+J816+K816</f>
        <v/>
      </c>
      <c r="N816" s="167">
        <f>M816*L816</f>
        <v/>
      </c>
      <c r="O816" s="167">
        <f>M816+N816</f>
        <v/>
      </c>
      <c r="P816" s="164" t="n"/>
    </row>
    <row r="817">
      <c r="A817" s="173" t="n"/>
      <c r="B817" s="164" t="n"/>
      <c r="C817" s="164" t="n"/>
      <c r="D817" s="164" t="n"/>
      <c r="E817" s="164" t="n"/>
      <c r="F817" s="164" t="n"/>
      <c r="G817" s="164" t="n"/>
      <c r="H817" s="164" t="n"/>
      <c r="I817" s="166" t="n"/>
      <c r="J817" s="166" t="n"/>
      <c r="K817" s="166" t="n"/>
      <c r="L817" s="168" t="n"/>
      <c r="M817" s="167">
        <f>H817*I817+J817+K817</f>
        <v/>
      </c>
      <c r="N817" s="167">
        <f>M817*L817</f>
        <v/>
      </c>
      <c r="O817" s="167">
        <f>M817+N817</f>
        <v/>
      </c>
      <c r="P817" s="164" t="n"/>
    </row>
    <row r="818">
      <c r="A818" s="173" t="n"/>
      <c r="B818" s="164" t="n"/>
      <c r="C818" s="164" t="n"/>
      <c r="D818" s="164" t="n"/>
      <c r="E818" s="164" t="n"/>
      <c r="F818" s="164" t="n"/>
      <c r="G818" s="164" t="n"/>
      <c r="H818" s="164" t="n"/>
      <c r="I818" s="166" t="n"/>
      <c r="J818" s="166" t="n"/>
      <c r="K818" s="166" t="n"/>
      <c r="L818" s="168" t="n"/>
      <c r="M818" s="167">
        <f>H818*I818+J818+K818</f>
        <v/>
      </c>
      <c r="N818" s="167">
        <f>M818*L818</f>
        <v/>
      </c>
      <c r="O818" s="167">
        <f>M818+N818</f>
        <v/>
      </c>
      <c r="P818" s="164" t="n"/>
    </row>
    <row r="819">
      <c r="A819" s="173" t="n"/>
      <c r="B819" s="164" t="n"/>
      <c r="C819" s="164" t="n"/>
      <c r="D819" s="164" t="n"/>
      <c r="E819" s="164" t="n"/>
      <c r="F819" s="164" t="n"/>
      <c r="G819" s="164" t="n"/>
      <c r="H819" s="164" t="n"/>
      <c r="I819" s="166" t="n"/>
      <c r="J819" s="166" t="n"/>
      <c r="K819" s="166" t="n"/>
      <c r="L819" s="168" t="n"/>
      <c r="M819" s="167">
        <f>H819*I819+J819+K819</f>
        <v/>
      </c>
      <c r="N819" s="167">
        <f>M819*L819</f>
        <v/>
      </c>
      <c r="O819" s="167">
        <f>M819+N819</f>
        <v/>
      </c>
      <c r="P819" s="164" t="n"/>
    </row>
    <row r="820">
      <c r="A820" s="173" t="n"/>
      <c r="B820" s="164" t="n"/>
      <c r="C820" s="164" t="n"/>
      <c r="D820" s="164" t="n"/>
      <c r="E820" s="164" t="n"/>
      <c r="F820" s="164" t="n"/>
      <c r="G820" s="164" t="n"/>
      <c r="H820" s="164" t="n"/>
      <c r="I820" s="166" t="n"/>
      <c r="J820" s="166" t="n"/>
      <c r="K820" s="166" t="n"/>
      <c r="L820" s="168" t="n"/>
      <c r="M820" s="167">
        <f>H820*I820+J820+K820</f>
        <v/>
      </c>
      <c r="N820" s="167">
        <f>M820*L820</f>
        <v/>
      </c>
      <c r="O820" s="167">
        <f>M820+N820</f>
        <v/>
      </c>
      <c r="P820" s="164" t="n"/>
    </row>
    <row r="821">
      <c r="A821" s="173" t="n"/>
      <c r="B821" s="164" t="n"/>
      <c r="C821" s="164" t="n"/>
      <c r="D821" s="164" t="n"/>
      <c r="E821" s="164" t="n"/>
      <c r="F821" s="164" t="n"/>
      <c r="G821" s="164" t="n"/>
      <c r="H821" s="164" t="n"/>
      <c r="I821" s="166" t="n"/>
      <c r="J821" s="166" t="n"/>
      <c r="K821" s="166" t="n"/>
      <c r="L821" s="168" t="n"/>
      <c r="M821" s="167">
        <f>H821*I821+J821+K821</f>
        <v/>
      </c>
      <c r="N821" s="167">
        <f>M821*L821</f>
        <v/>
      </c>
      <c r="O821" s="167">
        <f>M821+N821</f>
        <v/>
      </c>
      <c r="P821" s="164" t="n"/>
    </row>
    <row r="822">
      <c r="A822" s="173" t="n"/>
      <c r="B822" s="164" t="n"/>
      <c r="C822" s="164" t="n"/>
      <c r="D822" s="164" t="n"/>
      <c r="E822" s="164" t="n"/>
      <c r="F822" s="164" t="n"/>
      <c r="G822" s="164" t="n"/>
      <c r="H822" s="164" t="n"/>
      <c r="I822" s="166" t="n"/>
      <c r="J822" s="166" t="n"/>
      <c r="K822" s="166" t="n"/>
      <c r="L822" s="168" t="n"/>
      <c r="M822" s="167">
        <f>H822*I822+J822+K822</f>
        <v/>
      </c>
      <c r="N822" s="167">
        <f>M822*L822</f>
        <v/>
      </c>
      <c r="O822" s="167">
        <f>M822+N822</f>
        <v/>
      </c>
      <c r="P822" s="164" t="n"/>
    </row>
    <row r="823">
      <c r="A823" s="173" t="n"/>
      <c r="B823" s="164" t="n"/>
      <c r="C823" s="164" t="n"/>
      <c r="D823" s="164" t="n"/>
      <c r="E823" s="164" t="n"/>
      <c r="F823" s="164" t="n"/>
      <c r="G823" s="164" t="n"/>
      <c r="H823" s="164" t="n"/>
      <c r="I823" s="166" t="n"/>
      <c r="J823" s="166" t="n"/>
      <c r="K823" s="166" t="n"/>
      <c r="L823" s="168" t="n"/>
      <c r="M823" s="167">
        <f>H823*I823+J823+K823</f>
        <v/>
      </c>
      <c r="N823" s="167">
        <f>M823*L823</f>
        <v/>
      </c>
      <c r="O823" s="167">
        <f>M823+N823</f>
        <v/>
      </c>
      <c r="P823" s="164" t="n"/>
    </row>
    <row r="824">
      <c r="A824" s="173" t="n"/>
      <c r="B824" s="164" t="n"/>
      <c r="C824" s="164" t="n"/>
      <c r="D824" s="164" t="n"/>
      <c r="E824" s="164" t="n"/>
      <c r="F824" s="164" t="n"/>
      <c r="G824" s="164" t="n"/>
      <c r="H824" s="164" t="n"/>
      <c r="I824" s="166" t="n"/>
      <c r="J824" s="166" t="n"/>
      <c r="K824" s="166" t="n"/>
      <c r="L824" s="168" t="n"/>
      <c r="M824" s="167">
        <f>H824*I824+J824+K824</f>
        <v/>
      </c>
      <c r="N824" s="167">
        <f>M824*L824</f>
        <v/>
      </c>
      <c r="O824" s="167">
        <f>M824+N824</f>
        <v/>
      </c>
      <c r="P824" s="164" t="n"/>
    </row>
    <row r="825">
      <c r="A825" s="173" t="n"/>
      <c r="B825" s="164" t="n"/>
      <c r="C825" s="164" t="n"/>
      <c r="D825" s="164" t="n"/>
      <c r="E825" s="164" t="n"/>
      <c r="F825" s="164" t="n"/>
      <c r="G825" s="164" t="n"/>
      <c r="H825" s="164" t="n"/>
      <c r="I825" s="166" t="n"/>
      <c r="J825" s="166" t="n"/>
      <c r="K825" s="166" t="n"/>
      <c r="L825" s="168" t="n"/>
      <c r="M825" s="167">
        <f>H825*I825+J825+K825</f>
        <v/>
      </c>
      <c r="N825" s="167">
        <f>M825*L825</f>
        <v/>
      </c>
      <c r="O825" s="167">
        <f>M825+N825</f>
        <v/>
      </c>
      <c r="P825" s="164" t="n"/>
    </row>
    <row r="826">
      <c r="A826" s="173" t="n"/>
      <c r="B826" s="164" t="n"/>
      <c r="C826" s="164" t="n"/>
      <c r="D826" s="164" t="n"/>
      <c r="E826" s="164" t="n"/>
      <c r="F826" s="164" t="n"/>
      <c r="G826" s="164" t="n"/>
      <c r="H826" s="164" t="n"/>
      <c r="I826" s="166" t="n"/>
      <c r="J826" s="166" t="n"/>
      <c r="K826" s="166" t="n"/>
      <c r="L826" s="168" t="n"/>
      <c r="M826" s="167">
        <f>H826*I826+J826+K826</f>
        <v/>
      </c>
      <c r="N826" s="167">
        <f>M826*L826</f>
        <v/>
      </c>
      <c r="O826" s="167">
        <f>M826+N826</f>
        <v/>
      </c>
      <c r="P826" s="164" t="n"/>
    </row>
    <row r="827">
      <c r="A827" s="173" t="n"/>
      <c r="B827" s="164" t="n"/>
      <c r="C827" s="164" t="n"/>
      <c r="D827" s="164" t="n"/>
      <c r="E827" s="164" t="n"/>
      <c r="F827" s="164" t="n"/>
      <c r="G827" s="164" t="n"/>
      <c r="H827" s="164" t="n"/>
      <c r="I827" s="166" t="n"/>
      <c r="J827" s="166" t="n"/>
      <c r="K827" s="166" t="n"/>
      <c r="L827" s="168" t="n"/>
      <c r="M827" s="167">
        <f>H827*I827+J827+K827</f>
        <v/>
      </c>
      <c r="N827" s="167">
        <f>M827*L827</f>
        <v/>
      </c>
      <c r="O827" s="167">
        <f>M827+N827</f>
        <v/>
      </c>
      <c r="P827" s="164" t="n"/>
    </row>
    <row r="828">
      <c r="A828" s="173" t="n"/>
      <c r="B828" s="164" t="n"/>
      <c r="C828" s="164" t="n"/>
      <c r="D828" s="164" t="n"/>
      <c r="E828" s="164" t="n"/>
      <c r="F828" s="164" t="n"/>
      <c r="G828" s="164" t="n"/>
      <c r="H828" s="164" t="n"/>
      <c r="I828" s="166" t="n"/>
      <c r="J828" s="166" t="n"/>
      <c r="K828" s="166" t="n"/>
      <c r="L828" s="168" t="n"/>
      <c r="M828" s="167">
        <f>H828*I828+J828+K828</f>
        <v/>
      </c>
      <c r="N828" s="167">
        <f>M828*L828</f>
        <v/>
      </c>
      <c r="O828" s="167">
        <f>M828+N828</f>
        <v/>
      </c>
      <c r="P828" s="164" t="n"/>
    </row>
    <row r="829">
      <c r="A829" s="173" t="n"/>
      <c r="B829" s="164" t="n"/>
      <c r="C829" s="164" t="n"/>
      <c r="D829" s="164" t="n"/>
      <c r="E829" s="164" t="n"/>
      <c r="F829" s="164" t="n"/>
      <c r="G829" s="164" t="n"/>
      <c r="H829" s="164" t="n"/>
      <c r="I829" s="166" t="n"/>
      <c r="J829" s="166" t="n"/>
      <c r="K829" s="166" t="n"/>
      <c r="L829" s="168" t="n"/>
      <c r="M829" s="167">
        <f>H829*I829+J829+K829</f>
        <v/>
      </c>
      <c r="N829" s="167">
        <f>M829*L829</f>
        <v/>
      </c>
      <c r="O829" s="167">
        <f>M829+N829</f>
        <v/>
      </c>
      <c r="P829" s="164" t="n"/>
    </row>
    <row r="830">
      <c r="A830" s="173" t="n"/>
      <c r="B830" s="164" t="n"/>
      <c r="C830" s="164" t="n"/>
      <c r="D830" s="164" t="n"/>
      <c r="E830" s="164" t="n"/>
      <c r="F830" s="164" t="n"/>
      <c r="G830" s="164" t="n"/>
      <c r="H830" s="164" t="n"/>
      <c r="I830" s="166" t="n"/>
      <c r="J830" s="166" t="n"/>
      <c r="K830" s="166" t="n"/>
      <c r="L830" s="168" t="n"/>
      <c r="M830" s="167">
        <f>H830*I830+J830+K830</f>
        <v/>
      </c>
      <c r="N830" s="167">
        <f>M830*L830</f>
        <v/>
      </c>
      <c r="O830" s="167">
        <f>M830+N830</f>
        <v/>
      </c>
      <c r="P830" s="164" t="n"/>
    </row>
    <row r="831">
      <c r="A831" s="173" t="n"/>
      <c r="B831" s="164" t="n"/>
      <c r="C831" s="164" t="n"/>
      <c r="D831" s="164" t="n"/>
      <c r="E831" s="164" t="n"/>
      <c r="F831" s="164" t="n"/>
      <c r="G831" s="164" t="n"/>
      <c r="H831" s="164" t="n"/>
      <c r="I831" s="166" t="n"/>
      <c r="J831" s="166" t="n"/>
      <c r="K831" s="166" t="n"/>
      <c r="L831" s="168" t="n"/>
      <c r="M831" s="167">
        <f>H831*I831+J831+K831</f>
        <v/>
      </c>
      <c r="N831" s="167">
        <f>M831*L831</f>
        <v/>
      </c>
      <c r="O831" s="167">
        <f>M831+N831</f>
        <v/>
      </c>
      <c r="P831" s="164" t="n"/>
    </row>
    <row r="832">
      <c r="A832" s="173" t="n"/>
      <c r="B832" s="164" t="n"/>
      <c r="C832" s="164" t="n"/>
      <c r="D832" s="164" t="n"/>
      <c r="E832" s="164" t="n"/>
      <c r="F832" s="164" t="n"/>
      <c r="G832" s="164" t="n"/>
      <c r="H832" s="164" t="n"/>
      <c r="I832" s="166" t="n"/>
      <c r="J832" s="166" t="n"/>
      <c r="K832" s="166" t="n"/>
      <c r="L832" s="168" t="n"/>
      <c r="M832" s="167">
        <f>H832*I832+J832+K832</f>
        <v/>
      </c>
      <c r="N832" s="167">
        <f>M832*L832</f>
        <v/>
      </c>
      <c r="O832" s="167">
        <f>M832+N832</f>
        <v/>
      </c>
      <c r="P832" s="164" t="n"/>
    </row>
    <row r="833">
      <c r="A833" s="173" t="n"/>
      <c r="B833" s="164" t="n"/>
      <c r="C833" s="164" t="n"/>
      <c r="D833" s="164" t="n"/>
      <c r="E833" s="164" t="n"/>
      <c r="F833" s="164" t="n"/>
      <c r="G833" s="164" t="n"/>
      <c r="H833" s="164" t="n"/>
      <c r="I833" s="166" t="n"/>
      <c r="J833" s="166" t="n"/>
      <c r="K833" s="166" t="n"/>
      <c r="L833" s="168" t="n"/>
      <c r="M833" s="167">
        <f>H833*I833+J833+K833</f>
        <v/>
      </c>
      <c r="N833" s="167">
        <f>M833*L833</f>
        <v/>
      </c>
      <c r="O833" s="167">
        <f>M833+N833</f>
        <v/>
      </c>
      <c r="P833" s="164" t="n"/>
    </row>
    <row r="834">
      <c r="A834" s="173" t="n"/>
      <c r="B834" s="164" t="n"/>
      <c r="C834" s="164" t="n"/>
      <c r="D834" s="164" t="n"/>
      <c r="E834" s="164" t="n"/>
      <c r="F834" s="164" t="n"/>
      <c r="G834" s="164" t="n"/>
      <c r="H834" s="164" t="n"/>
      <c r="I834" s="166" t="n"/>
      <c r="J834" s="166" t="n"/>
      <c r="K834" s="166" t="n"/>
      <c r="L834" s="168" t="n"/>
      <c r="M834" s="167">
        <f>H834*I834+J834+K834</f>
        <v/>
      </c>
      <c r="N834" s="167">
        <f>M834*L834</f>
        <v/>
      </c>
      <c r="O834" s="167">
        <f>M834+N834</f>
        <v/>
      </c>
      <c r="P834" s="164" t="n"/>
    </row>
    <row r="835">
      <c r="A835" s="173" t="n"/>
      <c r="B835" s="164" t="n"/>
      <c r="C835" s="164" t="n"/>
      <c r="D835" s="164" t="n"/>
      <c r="E835" s="164" t="n"/>
      <c r="F835" s="164" t="n"/>
      <c r="G835" s="164" t="n"/>
      <c r="H835" s="164" t="n"/>
      <c r="I835" s="166" t="n"/>
      <c r="J835" s="166" t="n"/>
      <c r="K835" s="166" t="n"/>
      <c r="L835" s="168" t="n"/>
      <c r="M835" s="167">
        <f>H835*I835+J835+K835</f>
        <v/>
      </c>
      <c r="N835" s="167">
        <f>M835*L835</f>
        <v/>
      </c>
      <c r="O835" s="167">
        <f>M835+N835</f>
        <v/>
      </c>
      <c r="P835" s="164" t="n"/>
    </row>
    <row r="836">
      <c r="A836" s="173" t="n"/>
      <c r="B836" s="164" t="n"/>
      <c r="C836" s="164" t="n"/>
      <c r="D836" s="164" t="n"/>
      <c r="E836" s="164" t="n"/>
      <c r="F836" s="164" t="n"/>
      <c r="G836" s="164" t="n"/>
      <c r="H836" s="164" t="n"/>
      <c r="I836" s="166" t="n"/>
      <c r="J836" s="166" t="n"/>
      <c r="K836" s="166" t="n"/>
      <c r="L836" s="168" t="n"/>
      <c r="M836" s="167">
        <f>H836*I836+J836+K836</f>
        <v/>
      </c>
      <c r="N836" s="167">
        <f>M836*L836</f>
        <v/>
      </c>
      <c r="O836" s="167">
        <f>M836+N836</f>
        <v/>
      </c>
      <c r="P836" s="164" t="n"/>
    </row>
    <row r="837">
      <c r="A837" s="173" t="n"/>
      <c r="B837" s="164" t="n"/>
      <c r="C837" s="164" t="n"/>
      <c r="D837" s="164" t="n"/>
      <c r="E837" s="164" t="n"/>
      <c r="F837" s="164" t="n"/>
      <c r="G837" s="164" t="n"/>
      <c r="H837" s="164" t="n"/>
      <c r="I837" s="166" t="n"/>
      <c r="J837" s="166" t="n"/>
      <c r="K837" s="166" t="n"/>
      <c r="L837" s="168" t="n"/>
      <c r="M837" s="167">
        <f>H837*I837+J837+K837</f>
        <v/>
      </c>
      <c r="N837" s="167">
        <f>M837*L837</f>
        <v/>
      </c>
      <c r="O837" s="167">
        <f>M837+N837</f>
        <v/>
      </c>
      <c r="P837" s="164" t="n"/>
    </row>
    <row r="838">
      <c r="A838" s="173" t="n"/>
      <c r="B838" s="164" t="n"/>
      <c r="C838" s="164" t="n"/>
      <c r="D838" s="164" t="n"/>
      <c r="E838" s="164" t="n"/>
      <c r="F838" s="164" t="n"/>
      <c r="G838" s="164" t="n"/>
      <c r="H838" s="164" t="n"/>
      <c r="I838" s="166" t="n"/>
      <c r="J838" s="166" t="n"/>
      <c r="K838" s="166" t="n"/>
      <c r="L838" s="168" t="n"/>
      <c r="M838" s="167">
        <f>H838*I838+J838+K838</f>
        <v/>
      </c>
      <c r="N838" s="167">
        <f>M838*L838</f>
        <v/>
      </c>
      <c r="O838" s="167">
        <f>M838+N838</f>
        <v/>
      </c>
      <c r="P838" s="164" t="n"/>
    </row>
    <row r="839">
      <c r="A839" s="173" t="n"/>
      <c r="B839" s="164" t="n"/>
      <c r="C839" s="164" t="n"/>
      <c r="D839" s="164" t="n"/>
      <c r="E839" s="164" t="n"/>
      <c r="F839" s="164" t="n"/>
      <c r="G839" s="164" t="n"/>
      <c r="H839" s="164" t="n"/>
      <c r="I839" s="166" t="n"/>
      <c r="J839" s="166" t="n"/>
      <c r="K839" s="166" t="n"/>
      <c r="L839" s="168" t="n"/>
      <c r="M839" s="167">
        <f>H839*I839+J839+K839</f>
        <v/>
      </c>
      <c r="N839" s="167">
        <f>M839*L839</f>
        <v/>
      </c>
      <c r="O839" s="167">
        <f>M839+N839</f>
        <v/>
      </c>
      <c r="P839" s="164" t="n"/>
    </row>
    <row r="840">
      <c r="A840" s="173" t="n"/>
      <c r="B840" s="164" t="n"/>
      <c r="C840" s="164" t="n"/>
      <c r="D840" s="164" t="n"/>
      <c r="E840" s="164" t="n"/>
      <c r="F840" s="164" t="n"/>
      <c r="G840" s="164" t="n"/>
      <c r="H840" s="164" t="n"/>
      <c r="I840" s="166" t="n"/>
      <c r="J840" s="166" t="n"/>
      <c r="K840" s="166" t="n"/>
      <c r="L840" s="168" t="n"/>
      <c r="M840" s="167">
        <f>H840*I840+J840+K840</f>
        <v/>
      </c>
      <c r="N840" s="167">
        <f>M840*L840</f>
        <v/>
      </c>
      <c r="O840" s="167">
        <f>M840+N840</f>
        <v/>
      </c>
      <c r="P840" s="164" t="n"/>
    </row>
    <row r="841">
      <c r="A841" s="173" t="n"/>
      <c r="B841" s="164" t="n"/>
      <c r="C841" s="164" t="n"/>
      <c r="D841" s="164" t="n"/>
      <c r="E841" s="164" t="n"/>
      <c r="F841" s="164" t="n"/>
      <c r="G841" s="164" t="n"/>
      <c r="H841" s="164" t="n"/>
      <c r="I841" s="166" t="n"/>
      <c r="J841" s="166" t="n"/>
      <c r="K841" s="166" t="n"/>
      <c r="L841" s="168" t="n"/>
      <c r="M841" s="167">
        <f>H841*I841+J841+K841</f>
        <v/>
      </c>
      <c r="N841" s="167">
        <f>M841*L841</f>
        <v/>
      </c>
      <c r="O841" s="167">
        <f>M841+N841</f>
        <v/>
      </c>
      <c r="P841" s="164" t="n"/>
    </row>
    <row r="842">
      <c r="A842" s="173" t="n"/>
      <c r="B842" s="164" t="n"/>
      <c r="C842" s="164" t="n"/>
      <c r="D842" s="164" t="n"/>
      <c r="E842" s="164" t="n"/>
      <c r="F842" s="164" t="n"/>
      <c r="G842" s="164" t="n"/>
      <c r="H842" s="164" t="n"/>
      <c r="I842" s="166" t="n"/>
      <c r="J842" s="166" t="n"/>
      <c r="K842" s="166" t="n"/>
      <c r="L842" s="168" t="n"/>
      <c r="M842" s="167">
        <f>H842*I842+J842+K842</f>
        <v/>
      </c>
      <c r="N842" s="167">
        <f>M842*L842</f>
        <v/>
      </c>
      <c r="O842" s="167">
        <f>M842+N842</f>
        <v/>
      </c>
      <c r="P842" s="164" t="n"/>
    </row>
    <row r="843">
      <c r="A843" s="173" t="n"/>
      <c r="B843" s="164" t="n"/>
      <c r="C843" s="164" t="n"/>
      <c r="D843" s="164" t="n"/>
      <c r="E843" s="164" t="n"/>
      <c r="F843" s="164" t="n"/>
      <c r="G843" s="164" t="n"/>
      <c r="H843" s="164" t="n"/>
      <c r="I843" s="166" t="n"/>
      <c r="J843" s="166" t="n"/>
      <c r="K843" s="166" t="n"/>
      <c r="L843" s="168" t="n"/>
      <c r="M843" s="167">
        <f>H843*I843+J843+K843</f>
        <v/>
      </c>
      <c r="N843" s="167">
        <f>M843*L843</f>
        <v/>
      </c>
      <c r="O843" s="167">
        <f>M843+N843</f>
        <v/>
      </c>
      <c r="P843" s="164" t="n"/>
    </row>
    <row r="844">
      <c r="A844" s="173" t="n"/>
      <c r="B844" s="164" t="n"/>
      <c r="C844" s="164" t="n"/>
      <c r="D844" s="164" t="n"/>
      <c r="E844" s="164" t="n"/>
      <c r="F844" s="164" t="n"/>
      <c r="G844" s="164" t="n"/>
      <c r="H844" s="164" t="n"/>
      <c r="I844" s="166" t="n"/>
      <c r="J844" s="166" t="n"/>
      <c r="K844" s="166" t="n"/>
      <c r="L844" s="168" t="n"/>
      <c r="M844" s="167">
        <f>H844*I844+J844+K844</f>
        <v/>
      </c>
      <c r="N844" s="167">
        <f>M844*L844</f>
        <v/>
      </c>
      <c r="O844" s="167">
        <f>M844+N844</f>
        <v/>
      </c>
      <c r="P844" s="164" t="n"/>
    </row>
    <row r="845">
      <c r="A845" s="173" t="n"/>
      <c r="B845" s="164" t="n"/>
      <c r="C845" s="164" t="n"/>
      <c r="D845" s="164" t="n"/>
      <c r="E845" s="164" t="n"/>
      <c r="F845" s="164" t="n"/>
      <c r="G845" s="164" t="n"/>
      <c r="H845" s="164" t="n"/>
      <c r="I845" s="166" t="n"/>
      <c r="J845" s="166" t="n"/>
      <c r="K845" s="166" t="n"/>
      <c r="L845" s="168" t="n"/>
      <c r="M845" s="167">
        <f>H845*I845+J845+K845</f>
        <v/>
      </c>
      <c r="N845" s="167">
        <f>M845*L845</f>
        <v/>
      </c>
      <c r="O845" s="167">
        <f>M845+N845</f>
        <v/>
      </c>
      <c r="P845" s="164" t="n"/>
    </row>
    <row r="846">
      <c r="A846" s="173" t="n"/>
      <c r="B846" s="164" t="n"/>
      <c r="C846" s="164" t="n"/>
      <c r="D846" s="164" t="n"/>
      <c r="E846" s="164" t="n"/>
      <c r="F846" s="164" t="n"/>
      <c r="G846" s="164" t="n"/>
      <c r="H846" s="164" t="n"/>
      <c r="I846" s="166" t="n"/>
      <c r="J846" s="166" t="n"/>
      <c r="K846" s="166" t="n"/>
      <c r="L846" s="168" t="n"/>
      <c r="M846" s="167">
        <f>H846*I846+J846+K846</f>
        <v/>
      </c>
      <c r="N846" s="167">
        <f>M846*L846</f>
        <v/>
      </c>
      <c r="O846" s="167">
        <f>M846+N846</f>
        <v/>
      </c>
      <c r="P846" s="164" t="n"/>
    </row>
    <row r="847">
      <c r="A847" s="173" t="n"/>
      <c r="B847" s="164" t="n"/>
      <c r="C847" s="164" t="n"/>
      <c r="D847" s="164" t="n"/>
      <c r="E847" s="164" t="n"/>
      <c r="F847" s="164" t="n"/>
      <c r="G847" s="164" t="n"/>
      <c r="H847" s="164" t="n"/>
      <c r="I847" s="166" t="n"/>
      <c r="J847" s="166" t="n"/>
      <c r="K847" s="166" t="n"/>
      <c r="L847" s="168" t="n"/>
      <c r="M847" s="167">
        <f>H847*I847+J847+K847</f>
        <v/>
      </c>
      <c r="N847" s="167">
        <f>M847*L847</f>
        <v/>
      </c>
      <c r="O847" s="167">
        <f>M847+N847</f>
        <v/>
      </c>
      <c r="P847" s="164" t="n"/>
    </row>
    <row r="848">
      <c r="A848" s="173" t="n"/>
      <c r="B848" s="164" t="n"/>
      <c r="C848" s="164" t="n"/>
      <c r="D848" s="164" t="n"/>
      <c r="E848" s="164" t="n"/>
      <c r="F848" s="164" t="n"/>
      <c r="G848" s="164" t="n"/>
      <c r="H848" s="164" t="n"/>
      <c r="I848" s="166" t="n"/>
      <c r="J848" s="166" t="n"/>
      <c r="K848" s="166" t="n"/>
      <c r="L848" s="168" t="n"/>
      <c r="M848" s="167">
        <f>H848*I848+J848+K848</f>
        <v/>
      </c>
      <c r="N848" s="167">
        <f>M848*L848</f>
        <v/>
      </c>
      <c r="O848" s="167">
        <f>M848+N848</f>
        <v/>
      </c>
      <c r="P848" s="164" t="n"/>
    </row>
    <row r="849">
      <c r="A849" s="173" t="n"/>
      <c r="B849" s="164" t="n"/>
      <c r="C849" s="164" t="n"/>
      <c r="D849" s="164" t="n"/>
      <c r="E849" s="164" t="n"/>
      <c r="F849" s="164" t="n"/>
      <c r="G849" s="164" t="n"/>
      <c r="H849" s="164" t="n"/>
      <c r="I849" s="166" t="n"/>
      <c r="J849" s="166" t="n"/>
      <c r="K849" s="166" t="n"/>
      <c r="L849" s="168" t="n"/>
      <c r="M849" s="167">
        <f>H849*I849+J849+K849</f>
        <v/>
      </c>
      <c r="N849" s="167">
        <f>M849*L849</f>
        <v/>
      </c>
      <c r="O849" s="167">
        <f>M849+N849</f>
        <v/>
      </c>
      <c r="P849" s="164" t="n"/>
    </row>
    <row r="850">
      <c r="A850" s="173" t="n"/>
      <c r="B850" s="164" t="n"/>
      <c r="C850" s="164" t="n"/>
      <c r="D850" s="164" t="n"/>
      <c r="E850" s="164" t="n"/>
      <c r="F850" s="164" t="n"/>
      <c r="G850" s="164" t="n"/>
      <c r="H850" s="164" t="n"/>
      <c r="I850" s="166" t="n"/>
      <c r="J850" s="166" t="n"/>
      <c r="K850" s="166" t="n"/>
      <c r="L850" s="168" t="n"/>
      <c r="M850" s="167">
        <f>H850*I850+J850+K850</f>
        <v/>
      </c>
      <c r="N850" s="167">
        <f>M850*L850</f>
        <v/>
      </c>
      <c r="O850" s="167">
        <f>M850+N850</f>
        <v/>
      </c>
      <c r="P850" s="164" t="n"/>
    </row>
    <row r="851">
      <c r="A851" s="173" t="n"/>
      <c r="B851" s="164" t="n"/>
      <c r="C851" s="164" t="n"/>
      <c r="D851" s="164" t="n"/>
      <c r="E851" s="164" t="n"/>
      <c r="F851" s="164" t="n"/>
      <c r="G851" s="164" t="n"/>
      <c r="H851" s="164" t="n"/>
      <c r="I851" s="166" t="n"/>
      <c r="J851" s="166" t="n"/>
      <c r="K851" s="166" t="n"/>
      <c r="L851" s="168" t="n"/>
      <c r="M851" s="167">
        <f>H851*I851+J851+K851</f>
        <v/>
      </c>
      <c r="N851" s="167">
        <f>M851*L851</f>
        <v/>
      </c>
      <c r="O851" s="167">
        <f>M851+N851</f>
        <v/>
      </c>
      <c r="P851" s="164" t="n"/>
    </row>
    <row r="852">
      <c r="A852" s="173" t="n"/>
      <c r="B852" s="164" t="n"/>
      <c r="C852" s="164" t="n"/>
      <c r="D852" s="164" t="n"/>
      <c r="E852" s="164" t="n"/>
      <c r="F852" s="164" t="n"/>
      <c r="G852" s="164" t="n"/>
      <c r="H852" s="164" t="n"/>
      <c r="I852" s="166" t="n"/>
      <c r="J852" s="166" t="n"/>
      <c r="K852" s="166" t="n"/>
      <c r="L852" s="168" t="n"/>
      <c r="M852" s="167">
        <f>H852*I852+J852+K852</f>
        <v/>
      </c>
      <c r="N852" s="167">
        <f>M852*L852</f>
        <v/>
      </c>
      <c r="O852" s="167">
        <f>M852+N852</f>
        <v/>
      </c>
      <c r="P852" s="164" t="n"/>
    </row>
    <row r="853">
      <c r="A853" s="173" t="n"/>
      <c r="B853" s="164" t="n"/>
      <c r="C853" s="164" t="n"/>
      <c r="D853" s="164" t="n"/>
      <c r="E853" s="164" t="n"/>
      <c r="F853" s="164" t="n"/>
      <c r="G853" s="164" t="n"/>
      <c r="H853" s="164" t="n"/>
      <c r="I853" s="166" t="n"/>
      <c r="J853" s="166" t="n"/>
      <c r="K853" s="166" t="n"/>
      <c r="L853" s="168" t="n"/>
      <c r="M853" s="167">
        <f>H853*I853+J853+K853</f>
        <v/>
      </c>
      <c r="N853" s="167">
        <f>M853*L853</f>
        <v/>
      </c>
      <c r="O853" s="167">
        <f>M853+N853</f>
        <v/>
      </c>
      <c r="P853" s="164" t="n"/>
    </row>
    <row r="854">
      <c r="A854" s="173" t="n"/>
      <c r="B854" s="164" t="n"/>
      <c r="C854" s="164" t="n"/>
      <c r="D854" s="164" t="n"/>
      <c r="E854" s="164" t="n"/>
      <c r="F854" s="164" t="n"/>
      <c r="G854" s="164" t="n"/>
      <c r="H854" s="164" t="n"/>
      <c r="I854" s="166" t="n"/>
      <c r="J854" s="166" t="n"/>
      <c r="K854" s="166" t="n"/>
      <c r="L854" s="168" t="n"/>
      <c r="M854" s="167">
        <f>H854*I854+J854+K854</f>
        <v/>
      </c>
      <c r="N854" s="167">
        <f>M854*L854</f>
        <v/>
      </c>
      <c r="O854" s="167">
        <f>M854+N854</f>
        <v/>
      </c>
      <c r="P854" s="164" t="n"/>
    </row>
    <row r="855">
      <c r="A855" s="173" t="n"/>
      <c r="B855" s="164" t="n"/>
      <c r="C855" s="164" t="n"/>
      <c r="D855" s="164" t="n"/>
      <c r="E855" s="164" t="n"/>
      <c r="F855" s="164" t="n"/>
      <c r="G855" s="164" t="n"/>
      <c r="H855" s="164" t="n"/>
      <c r="I855" s="166" t="n"/>
      <c r="J855" s="166" t="n"/>
      <c r="K855" s="166" t="n"/>
      <c r="L855" s="168" t="n"/>
      <c r="M855" s="167">
        <f>H855*I855+J855+K855</f>
        <v/>
      </c>
      <c r="N855" s="167">
        <f>M855*L855</f>
        <v/>
      </c>
      <c r="O855" s="167">
        <f>M855+N855</f>
        <v/>
      </c>
      <c r="P855" s="164" t="n"/>
    </row>
    <row r="856">
      <c r="A856" s="173" t="n"/>
      <c r="B856" s="164" t="n"/>
      <c r="C856" s="164" t="n"/>
      <c r="D856" s="164" t="n"/>
      <c r="E856" s="164" t="n"/>
      <c r="F856" s="164" t="n"/>
      <c r="G856" s="164" t="n"/>
      <c r="H856" s="164" t="n"/>
      <c r="I856" s="166" t="n"/>
      <c r="J856" s="166" t="n"/>
      <c r="K856" s="166" t="n"/>
      <c r="L856" s="168" t="n"/>
      <c r="M856" s="167">
        <f>H856*I856+J856+K856</f>
        <v/>
      </c>
      <c r="N856" s="167">
        <f>M856*L856</f>
        <v/>
      </c>
      <c r="O856" s="167">
        <f>M856+N856</f>
        <v/>
      </c>
      <c r="P856" s="164" t="n"/>
    </row>
    <row r="857">
      <c r="A857" s="173" t="n"/>
      <c r="B857" s="164" t="n"/>
      <c r="C857" s="164" t="n"/>
      <c r="D857" s="164" t="n"/>
      <c r="E857" s="164" t="n"/>
      <c r="F857" s="164" t="n"/>
      <c r="G857" s="164" t="n"/>
      <c r="H857" s="164" t="n"/>
      <c r="I857" s="166" t="n"/>
      <c r="J857" s="166" t="n"/>
      <c r="K857" s="166" t="n"/>
      <c r="L857" s="168" t="n"/>
      <c r="M857" s="167">
        <f>H857*I857+J857+K857</f>
        <v/>
      </c>
      <c r="N857" s="167">
        <f>M857*L857</f>
        <v/>
      </c>
      <c r="O857" s="167">
        <f>M857+N857</f>
        <v/>
      </c>
      <c r="P857" s="164" t="n"/>
    </row>
    <row r="858">
      <c r="A858" s="173" t="n"/>
      <c r="B858" s="164" t="n"/>
      <c r="C858" s="164" t="n"/>
      <c r="D858" s="164" t="n"/>
      <c r="E858" s="164" t="n"/>
      <c r="F858" s="164" t="n"/>
      <c r="G858" s="164" t="n"/>
      <c r="H858" s="164" t="n"/>
      <c r="I858" s="166" t="n"/>
      <c r="J858" s="166" t="n"/>
      <c r="K858" s="166" t="n"/>
      <c r="L858" s="168" t="n"/>
      <c r="M858" s="167">
        <f>H858*I858+J858+K858</f>
        <v/>
      </c>
      <c r="N858" s="167">
        <f>M858*L858</f>
        <v/>
      </c>
      <c r="O858" s="167">
        <f>M858+N858</f>
        <v/>
      </c>
      <c r="P858" s="164" t="n"/>
    </row>
    <row r="859">
      <c r="A859" s="173" t="n"/>
      <c r="B859" s="164" t="n"/>
      <c r="C859" s="164" t="n"/>
      <c r="D859" s="164" t="n"/>
      <c r="E859" s="164" t="n"/>
      <c r="F859" s="164" t="n"/>
      <c r="G859" s="164" t="n"/>
      <c r="H859" s="164" t="n"/>
      <c r="I859" s="166" t="n"/>
      <c r="J859" s="166" t="n"/>
      <c r="K859" s="166" t="n"/>
      <c r="L859" s="168" t="n"/>
      <c r="M859" s="167">
        <f>H859*I859+J859+K859</f>
        <v/>
      </c>
      <c r="N859" s="167">
        <f>M859*L859</f>
        <v/>
      </c>
      <c r="O859" s="167">
        <f>M859+N859</f>
        <v/>
      </c>
      <c r="P859" s="164" t="n"/>
    </row>
    <row r="860">
      <c r="A860" s="173" t="n"/>
      <c r="B860" s="164" t="n"/>
      <c r="C860" s="164" t="n"/>
      <c r="D860" s="164" t="n"/>
      <c r="E860" s="164" t="n"/>
      <c r="F860" s="164" t="n"/>
      <c r="G860" s="164" t="n"/>
      <c r="H860" s="164" t="n"/>
      <c r="I860" s="166" t="n"/>
      <c r="J860" s="166" t="n"/>
      <c r="K860" s="166" t="n"/>
      <c r="L860" s="168" t="n"/>
      <c r="M860" s="167">
        <f>H860*I860+J860+K860</f>
        <v/>
      </c>
      <c r="N860" s="167">
        <f>M860*L860</f>
        <v/>
      </c>
      <c r="O860" s="167">
        <f>M860+N860</f>
        <v/>
      </c>
      <c r="P860" s="164" t="n"/>
    </row>
    <row r="861">
      <c r="A861" s="173" t="n"/>
      <c r="B861" s="164" t="n"/>
      <c r="C861" s="164" t="n"/>
      <c r="D861" s="164" t="n"/>
      <c r="E861" s="164" t="n"/>
      <c r="F861" s="164" t="n"/>
      <c r="G861" s="164" t="n"/>
      <c r="H861" s="164" t="n"/>
      <c r="I861" s="166" t="n"/>
      <c r="J861" s="166" t="n"/>
      <c r="K861" s="166" t="n"/>
      <c r="L861" s="168" t="n"/>
      <c r="M861" s="167">
        <f>H861*I861+J861+K861</f>
        <v/>
      </c>
      <c r="N861" s="167">
        <f>M861*L861</f>
        <v/>
      </c>
      <c r="O861" s="167">
        <f>M861+N861</f>
        <v/>
      </c>
      <c r="P861" s="164" t="n"/>
    </row>
    <row r="862">
      <c r="A862" s="173" t="n"/>
      <c r="B862" s="164" t="n"/>
      <c r="C862" s="164" t="n"/>
      <c r="D862" s="164" t="n"/>
      <c r="E862" s="164" t="n"/>
      <c r="F862" s="164" t="n"/>
      <c r="G862" s="164" t="n"/>
      <c r="H862" s="164" t="n"/>
      <c r="I862" s="166" t="n"/>
      <c r="J862" s="166" t="n"/>
      <c r="K862" s="166" t="n"/>
      <c r="L862" s="168" t="n"/>
      <c r="M862" s="167">
        <f>H862*I862+J862+K862</f>
        <v/>
      </c>
      <c r="N862" s="167">
        <f>M862*L862</f>
        <v/>
      </c>
      <c r="O862" s="167">
        <f>M862+N862</f>
        <v/>
      </c>
      <c r="P862" s="164" t="n"/>
    </row>
    <row r="863">
      <c r="A863" s="173" t="n"/>
      <c r="B863" s="164" t="n"/>
      <c r="C863" s="164" t="n"/>
      <c r="D863" s="164" t="n"/>
      <c r="E863" s="164" t="n"/>
      <c r="F863" s="164" t="n"/>
      <c r="G863" s="164" t="n"/>
      <c r="H863" s="164" t="n"/>
      <c r="I863" s="166" t="n"/>
      <c r="J863" s="166" t="n"/>
      <c r="K863" s="166" t="n"/>
      <c r="L863" s="168" t="n"/>
      <c r="M863" s="167">
        <f>H863*I863+J863+K863</f>
        <v/>
      </c>
      <c r="N863" s="167">
        <f>M863*L863</f>
        <v/>
      </c>
      <c r="O863" s="167">
        <f>M863+N863</f>
        <v/>
      </c>
      <c r="P863" s="164" t="n"/>
    </row>
    <row r="864">
      <c r="A864" s="173" t="n"/>
      <c r="B864" s="164" t="n"/>
      <c r="C864" s="164" t="n"/>
      <c r="D864" s="164" t="n"/>
      <c r="E864" s="164" t="n"/>
      <c r="F864" s="164" t="n"/>
      <c r="G864" s="164" t="n"/>
      <c r="H864" s="164" t="n"/>
      <c r="I864" s="166" t="n"/>
      <c r="J864" s="166" t="n"/>
      <c r="K864" s="166" t="n"/>
      <c r="L864" s="168" t="n"/>
      <c r="M864" s="167">
        <f>H864*I864+J864+K864</f>
        <v/>
      </c>
      <c r="N864" s="167">
        <f>M864*L864</f>
        <v/>
      </c>
      <c r="O864" s="167">
        <f>M864+N864</f>
        <v/>
      </c>
      <c r="P864" s="164" t="n"/>
    </row>
    <row r="865">
      <c r="A865" s="173" t="n"/>
      <c r="B865" s="164" t="n"/>
      <c r="C865" s="164" t="n"/>
      <c r="D865" s="164" t="n"/>
      <c r="E865" s="164" t="n"/>
      <c r="F865" s="164" t="n"/>
      <c r="G865" s="164" t="n"/>
      <c r="H865" s="164" t="n"/>
      <c r="I865" s="166" t="n"/>
      <c r="J865" s="166" t="n"/>
      <c r="K865" s="166" t="n"/>
      <c r="L865" s="168" t="n"/>
      <c r="M865" s="167">
        <f>H865*I865+J865+K865</f>
        <v/>
      </c>
      <c r="N865" s="167">
        <f>M865*L865</f>
        <v/>
      </c>
      <c r="O865" s="167">
        <f>M865+N865</f>
        <v/>
      </c>
      <c r="P865" s="164" t="n"/>
    </row>
    <row r="866">
      <c r="A866" s="173" t="n"/>
      <c r="B866" s="164" t="n"/>
      <c r="C866" s="164" t="n"/>
      <c r="D866" s="164" t="n"/>
      <c r="E866" s="164" t="n"/>
      <c r="F866" s="164" t="n"/>
      <c r="G866" s="164" t="n"/>
      <c r="H866" s="164" t="n"/>
      <c r="I866" s="166" t="n"/>
      <c r="J866" s="166" t="n"/>
      <c r="K866" s="166" t="n"/>
      <c r="L866" s="168" t="n"/>
      <c r="M866" s="167">
        <f>H866*I866+J866+K866</f>
        <v/>
      </c>
      <c r="N866" s="167">
        <f>M866*L866</f>
        <v/>
      </c>
      <c r="O866" s="167">
        <f>M866+N866</f>
        <v/>
      </c>
      <c r="P866" s="164" t="n"/>
    </row>
    <row r="867">
      <c r="A867" s="173" t="n"/>
      <c r="B867" s="164" t="n"/>
      <c r="C867" s="164" t="n"/>
      <c r="D867" s="164" t="n"/>
      <c r="E867" s="164" t="n"/>
      <c r="F867" s="164" t="n"/>
      <c r="G867" s="164" t="n"/>
      <c r="H867" s="164" t="n"/>
      <c r="I867" s="166" t="n"/>
      <c r="J867" s="166" t="n"/>
      <c r="K867" s="166" t="n"/>
      <c r="L867" s="168" t="n"/>
      <c r="M867" s="167">
        <f>H867*I867+J867+K867</f>
        <v/>
      </c>
      <c r="N867" s="167">
        <f>M867*L867</f>
        <v/>
      </c>
      <c r="O867" s="167">
        <f>M867+N867</f>
        <v/>
      </c>
      <c r="P867" s="164" t="n"/>
    </row>
    <row r="868">
      <c r="A868" s="173" t="n"/>
      <c r="B868" s="164" t="n"/>
      <c r="C868" s="164" t="n"/>
      <c r="D868" s="164" t="n"/>
      <c r="E868" s="164" t="n"/>
      <c r="F868" s="164" t="n"/>
      <c r="G868" s="164" t="n"/>
      <c r="H868" s="164" t="n"/>
      <c r="I868" s="166" t="n"/>
      <c r="J868" s="166" t="n"/>
      <c r="K868" s="166" t="n"/>
      <c r="L868" s="168" t="n"/>
      <c r="M868" s="167">
        <f>H868*I868+J868+K868</f>
        <v/>
      </c>
      <c r="N868" s="167">
        <f>M868*L868</f>
        <v/>
      </c>
      <c r="O868" s="167">
        <f>M868+N868</f>
        <v/>
      </c>
      <c r="P868" s="164" t="n"/>
    </row>
    <row r="869">
      <c r="A869" s="173" t="n"/>
      <c r="B869" s="164" t="n"/>
      <c r="C869" s="164" t="n"/>
      <c r="D869" s="164" t="n"/>
      <c r="E869" s="164" t="n"/>
      <c r="F869" s="164" t="n"/>
      <c r="G869" s="164" t="n"/>
      <c r="H869" s="164" t="n"/>
      <c r="I869" s="166" t="n"/>
      <c r="J869" s="166" t="n"/>
      <c r="K869" s="166" t="n"/>
      <c r="L869" s="168" t="n"/>
      <c r="M869" s="167">
        <f>H869*I869+J869+K869</f>
        <v/>
      </c>
      <c r="N869" s="167">
        <f>M869*L869</f>
        <v/>
      </c>
      <c r="O869" s="167">
        <f>M869+N869</f>
        <v/>
      </c>
      <c r="P869" s="164" t="n"/>
    </row>
    <row r="870">
      <c r="A870" s="173" t="n"/>
      <c r="B870" s="164" t="n"/>
      <c r="C870" s="164" t="n"/>
      <c r="D870" s="164" t="n"/>
      <c r="E870" s="164" t="n"/>
      <c r="F870" s="164" t="n"/>
      <c r="G870" s="164" t="n"/>
      <c r="H870" s="164" t="n"/>
      <c r="I870" s="166" t="n"/>
      <c r="J870" s="166" t="n"/>
      <c r="K870" s="166" t="n"/>
      <c r="L870" s="168" t="n"/>
      <c r="M870" s="167">
        <f>H870*I870+J870+K870</f>
        <v/>
      </c>
      <c r="N870" s="167">
        <f>M870*L870</f>
        <v/>
      </c>
      <c r="O870" s="167">
        <f>M870+N870</f>
        <v/>
      </c>
      <c r="P870" s="164" t="n"/>
    </row>
    <row r="871">
      <c r="A871" s="173" t="n"/>
      <c r="B871" s="164" t="n"/>
      <c r="C871" s="164" t="n"/>
      <c r="D871" s="164" t="n"/>
      <c r="E871" s="164" t="n"/>
      <c r="F871" s="164" t="n"/>
      <c r="G871" s="164" t="n"/>
      <c r="H871" s="164" t="n"/>
      <c r="I871" s="166" t="n"/>
      <c r="J871" s="166" t="n"/>
      <c r="K871" s="166" t="n"/>
      <c r="L871" s="168" t="n"/>
      <c r="M871" s="167">
        <f>H871*I871+J871+K871</f>
        <v/>
      </c>
      <c r="N871" s="167">
        <f>M871*L871</f>
        <v/>
      </c>
      <c r="O871" s="167">
        <f>M871+N871</f>
        <v/>
      </c>
      <c r="P871" s="164" t="n"/>
    </row>
    <row r="872">
      <c r="A872" s="173" t="n"/>
      <c r="B872" s="164" t="n"/>
      <c r="C872" s="164" t="n"/>
      <c r="D872" s="164" t="n"/>
      <c r="E872" s="164" t="n"/>
      <c r="F872" s="164" t="n"/>
      <c r="G872" s="164" t="n"/>
      <c r="H872" s="164" t="n"/>
      <c r="I872" s="166" t="n"/>
      <c r="J872" s="166" t="n"/>
      <c r="K872" s="166" t="n"/>
      <c r="L872" s="168" t="n"/>
      <c r="M872" s="167">
        <f>H872*I872+J872+K872</f>
        <v/>
      </c>
      <c r="N872" s="167">
        <f>M872*L872</f>
        <v/>
      </c>
      <c r="O872" s="167">
        <f>M872+N872</f>
        <v/>
      </c>
      <c r="P872" s="164" t="n"/>
    </row>
    <row r="873">
      <c r="A873" s="173" t="n"/>
      <c r="B873" s="164" t="n"/>
      <c r="C873" s="164" t="n"/>
      <c r="D873" s="164" t="n"/>
      <c r="E873" s="164" t="n"/>
      <c r="F873" s="164" t="n"/>
      <c r="G873" s="164" t="n"/>
      <c r="H873" s="164" t="n"/>
      <c r="I873" s="166" t="n"/>
      <c r="J873" s="166" t="n"/>
      <c r="K873" s="166" t="n"/>
      <c r="L873" s="168" t="n"/>
      <c r="M873" s="167">
        <f>H873*I873+J873+K873</f>
        <v/>
      </c>
      <c r="N873" s="167">
        <f>M873*L873</f>
        <v/>
      </c>
      <c r="O873" s="167">
        <f>M873+N873</f>
        <v/>
      </c>
      <c r="P873" s="164" t="n"/>
    </row>
    <row r="874">
      <c r="A874" s="173" t="n"/>
      <c r="B874" s="164" t="n"/>
      <c r="C874" s="164" t="n"/>
      <c r="D874" s="164" t="n"/>
      <c r="E874" s="164" t="n"/>
      <c r="F874" s="164" t="n"/>
      <c r="G874" s="164" t="n"/>
      <c r="H874" s="164" t="n"/>
      <c r="I874" s="166" t="n"/>
      <c r="J874" s="166" t="n"/>
      <c r="K874" s="166" t="n"/>
      <c r="L874" s="168" t="n"/>
      <c r="M874" s="167">
        <f>H874*I874+J874+K874</f>
        <v/>
      </c>
      <c r="N874" s="167">
        <f>M874*L874</f>
        <v/>
      </c>
      <c r="O874" s="167">
        <f>M874+N874</f>
        <v/>
      </c>
      <c r="P874" s="164" t="n"/>
    </row>
    <row r="875">
      <c r="A875" s="173" t="n"/>
      <c r="B875" s="164" t="n"/>
      <c r="C875" s="164" t="n"/>
      <c r="D875" s="164" t="n"/>
      <c r="E875" s="164" t="n"/>
      <c r="F875" s="164" t="n"/>
      <c r="G875" s="164" t="n"/>
      <c r="H875" s="164" t="n"/>
      <c r="I875" s="166" t="n"/>
      <c r="J875" s="166" t="n"/>
      <c r="K875" s="166" t="n"/>
      <c r="L875" s="168" t="n"/>
      <c r="M875" s="167">
        <f>H875*I875+J875+K875</f>
        <v/>
      </c>
      <c r="N875" s="167">
        <f>M875*L875</f>
        <v/>
      </c>
      <c r="O875" s="167">
        <f>M875+N875</f>
        <v/>
      </c>
      <c r="P875" s="164" t="n"/>
    </row>
    <row r="876">
      <c r="A876" s="173" t="n"/>
      <c r="B876" s="164" t="n"/>
      <c r="C876" s="164" t="n"/>
      <c r="D876" s="164" t="n"/>
      <c r="E876" s="164" t="n"/>
      <c r="F876" s="164" t="n"/>
      <c r="G876" s="164" t="n"/>
      <c r="H876" s="164" t="n"/>
      <c r="I876" s="166" t="n"/>
      <c r="J876" s="166" t="n"/>
      <c r="K876" s="166" t="n"/>
      <c r="L876" s="168" t="n"/>
      <c r="M876" s="167">
        <f>H876*I876+J876+K876</f>
        <v/>
      </c>
      <c r="N876" s="167">
        <f>M876*L876</f>
        <v/>
      </c>
      <c r="O876" s="167">
        <f>M876+N876</f>
        <v/>
      </c>
      <c r="P876" s="164" t="n"/>
    </row>
    <row r="877">
      <c r="A877" s="173" t="n"/>
      <c r="B877" s="164" t="n"/>
      <c r="C877" s="164" t="n"/>
      <c r="D877" s="164" t="n"/>
      <c r="E877" s="164" t="n"/>
      <c r="F877" s="164" t="n"/>
      <c r="G877" s="164" t="n"/>
      <c r="H877" s="164" t="n"/>
      <c r="I877" s="166" t="n"/>
      <c r="J877" s="166" t="n"/>
      <c r="K877" s="166" t="n"/>
      <c r="L877" s="168" t="n"/>
      <c r="M877" s="167">
        <f>H877*I877+J877+K877</f>
        <v/>
      </c>
      <c r="N877" s="167">
        <f>M877*L877</f>
        <v/>
      </c>
      <c r="O877" s="167">
        <f>M877+N877</f>
        <v/>
      </c>
      <c r="P877" s="164" t="n"/>
    </row>
    <row r="878">
      <c r="A878" s="173" t="n"/>
      <c r="B878" s="164" t="n"/>
      <c r="C878" s="164" t="n"/>
      <c r="D878" s="164" t="n"/>
      <c r="E878" s="164" t="n"/>
      <c r="F878" s="164" t="n"/>
      <c r="G878" s="164" t="n"/>
      <c r="H878" s="164" t="n"/>
      <c r="I878" s="166" t="n"/>
      <c r="J878" s="166" t="n"/>
      <c r="K878" s="166" t="n"/>
      <c r="L878" s="168" t="n"/>
      <c r="M878" s="167">
        <f>H878*I878+J878+K878</f>
        <v/>
      </c>
      <c r="N878" s="167">
        <f>M878*L878</f>
        <v/>
      </c>
      <c r="O878" s="167">
        <f>M878+N878</f>
        <v/>
      </c>
      <c r="P878" s="164" t="n"/>
    </row>
    <row r="879">
      <c r="A879" s="173" t="n"/>
      <c r="B879" s="164" t="n"/>
      <c r="C879" s="164" t="n"/>
      <c r="D879" s="164" t="n"/>
      <c r="E879" s="164" t="n"/>
      <c r="F879" s="164" t="n"/>
      <c r="G879" s="164" t="n"/>
      <c r="H879" s="164" t="n"/>
      <c r="I879" s="166" t="n"/>
      <c r="J879" s="166" t="n"/>
      <c r="K879" s="166" t="n"/>
      <c r="L879" s="168" t="n"/>
      <c r="M879" s="167">
        <f>H879*I879+J879+K879</f>
        <v/>
      </c>
      <c r="N879" s="167">
        <f>M879*L879</f>
        <v/>
      </c>
      <c r="O879" s="167">
        <f>M879+N879</f>
        <v/>
      </c>
      <c r="P879" s="164" t="n"/>
    </row>
    <row r="880">
      <c r="A880" s="173" t="n"/>
      <c r="B880" s="164" t="n"/>
      <c r="C880" s="164" t="n"/>
      <c r="D880" s="164" t="n"/>
      <c r="E880" s="164" t="n"/>
      <c r="F880" s="164" t="n"/>
      <c r="G880" s="164" t="n"/>
      <c r="H880" s="164" t="n"/>
      <c r="I880" s="166" t="n"/>
      <c r="J880" s="166" t="n"/>
      <c r="K880" s="166" t="n"/>
      <c r="L880" s="168" t="n"/>
      <c r="M880" s="167">
        <f>H880*I880+J880+K880</f>
        <v/>
      </c>
      <c r="N880" s="167">
        <f>M880*L880</f>
        <v/>
      </c>
      <c r="O880" s="167">
        <f>M880+N880</f>
        <v/>
      </c>
      <c r="P880" s="164" t="n"/>
    </row>
    <row r="881">
      <c r="A881" s="173" t="n"/>
      <c r="B881" s="164" t="n"/>
      <c r="C881" s="164" t="n"/>
      <c r="D881" s="164" t="n"/>
      <c r="E881" s="164" t="n"/>
      <c r="F881" s="164" t="n"/>
      <c r="G881" s="164" t="n"/>
      <c r="H881" s="164" t="n"/>
      <c r="I881" s="166" t="n"/>
      <c r="J881" s="166" t="n"/>
      <c r="K881" s="166" t="n"/>
      <c r="L881" s="168" t="n"/>
      <c r="M881" s="167">
        <f>H881*I881+J881+K881</f>
        <v/>
      </c>
      <c r="N881" s="167">
        <f>M881*L881</f>
        <v/>
      </c>
      <c r="O881" s="167">
        <f>M881+N881</f>
        <v/>
      </c>
      <c r="P881" s="164" t="n"/>
    </row>
    <row r="882">
      <c r="A882" s="173" t="n"/>
      <c r="B882" s="164" t="n"/>
      <c r="C882" s="164" t="n"/>
      <c r="D882" s="164" t="n"/>
      <c r="E882" s="164" t="n"/>
      <c r="F882" s="164" t="n"/>
      <c r="G882" s="164" t="n"/>
      <c r="H882" s="164" t="n"/>
      <c r="I882" s="166" t="n"/>
      <c r="J882" s="166" t="n"/>
      <c r="K882" s="166" t="n"/>
      <c r="L882" s="168" t="n"/>
      <c r="M882" s="167">
        <f>H882*I882+J882+K882</f>
        <v/>
      </c>
      <c r="N882" s="167">
        <f>M882*L882</f>
        <v/>
      </c>
      <c r="O882" s="167">
        <f>M882+N882</f>
        <v/>
      </c>
      <c r="P882" s="164" t="n"/>
    </row>
    <row r="883">
      <c r="A883" s="173" t="n"/>
      <c r="B883" s="164" t="n"/>
      <c r="C883" s="164" t="n"/>
      <c r="D883" s="164" t="n"/>
      <c r="E883" s="164" t="n"/>
      <c r="F883" s="164" t="n"/>
      <c r="G883" s="164" t="n"/>
      <c r="H883" s="164" t="n"/>
      <c r="I883" s="166" t="n"/>
      <c r="J883" s="166" t="n"/>
      <c r="K883" s="166" t="n"/>
      <c r="L883" s="168" t="n"/>
      <c r="M883" s="167">
        <f>H883*I883+J883+K883</f>
        <v/>
      </c>
      <c r="N883" s="167">
        <f>M883*L883</f>
        <v/>
      </c>
      <c r="O883" s="167">
        <f>M883+N883</f>
        <v/>
      </c>
      <c r="P883" s="164" t="n"/>
    </row>
    <row r="884">
      <c r="A884" s="173" t="n"/>
      <c r="B884" s="164" t="n"/>
      <c r="C884" s="164" t="n"/>
      <c r="D884" s="164" t="n"/>
      <c r="E884" s="164" t="n"/>
      <c r="F884" s="164" t="n"/>
      <c r="G884" s="164" t="n"/>
      <c r="H884" s="164" t="n"/>
      <c r="I884" s="166" t="n"/>
      <c r="J884" s="166" t="n"/>
      <c r="K884" s="166" t="n"/>
      <c r="L884" s="168" t="n"/>
      <c r="M884" s="167">
        <f>H884*I884+J884+K884</f>
        <v/>
      </c>
      <c r="N884" s="167">
        <f>M884*L884</f>
        <v/>
      </c>
      <c r="O884" s="167">
        <f>M884+N884</f>
        <v/>
      </c>
      <c r="P884" s="164" t="n"/>
    </row>
    <row r="885">
      <c r="A885" s="173" t="n"/>
      <c r="B885" s="164" t="n"/>
      <c r="C885" s="164" t="n"/>
      <c r="D885" s="164" t="n"/>
      <c r="E885" s="164" t="n"/>
      <c r="F885" s="164" t="n"/>
      <c r="G885" s="164" t="n"/>
      <c r="H885" s="164" t="n"/>
      <c r="I885" s="166" t="n"/>
      <c r="J885" s="166" t="n"/>
      <c r="K885" s="166" t="n"/>
      <c r="L885" s="168" t="n"/>
      <c r="M885" s="167">
        <f>H885*I885+J885+K885</f>
        <v/>
      </c>
      <c r="N885" s="167">
        <f>M885*L885</f>
        <v/>
      </c>
      <c r="O885" s="167">
        <f>M885+N885</f>
        <v/>
      </c>
      <c r="P885" s="164" t="n"/>
    </row>
    <row r="886">
      <c r="A886" s="173" t="n"/>
      <c r="B886" s="164" t="n"/>
      <c r="C886" s="164" t="n"/>
      <c r="D886" s="164" t="n"/>
      <c r="E886" s="164" t="n"/>
      <c r="F886" s="164" t="n"/>
      <c r="G886" s="164" t="n"/>
      <c r="H886" s="164" t="n"/>
      <c r="I886" s="166" t="n"/>
      <c r="J886" s="166" t="n"/>
      <c r="K886" s="166" t="n"/>
      <c r="L886" s="168" t="n"/>
      <c r="M886" s="167">
        <f>H886*I886+J886+K886</f>
        <v/>
      </c>
      <c r="N886" s="167">
        <f>M886*L886</f>
        <v/>
      </c>
      <c r="O886" s="167">
        <f>M886+N886</f>
        <v/>
      </c>
      <c r="P886" s="164" t="n"/>
    </row>
    <row r="887">
      <c r="A887" s="173" t="n"/>
      <c r="B887" s="164" t="n"/>
      <c r="C887" s="164" t="n"/>
      <c r="D887" s="164" t="n"/>
      <c r="E887" s="164" t="n"/>
      <c r="F887" s="164" t="n"/>
      <c r="G887" s="164" t="n"/>
      <c r="H887" s="164" t="n"/>
      <c r="I887" s="166" t="n"/>
      <c r="J887" s="166" t="n"/>
      <c r="K887" s="166" t="n"/>
      <c r="L887" s="168" t="n"/>
      <c r="M887" s="167">
        <f>H887*I887+J887+K887</f>
        <v/>
      </c>
      <c r="N887" s="167">
        <f>M887*L887</f>
        <v/>
      </c>
      <c r="O887" s="167">
        <f>M887+N887</f>
        <v/>
      </c>
      <c r="P887" s="164" t="n"/>
    </row>
    <row r="888">
      <c r="A888" s="173" t="n"/>
      <c r="B888" s="164" t="n"/>
      <c r="C888" s="164" t="n"/>
      <c r="D888" s="164" t="n"/>
      <c r="E888" s="164" t="n"/>
      <c r="F888" s="164" t="n"/>
      <c r="G888" s="164" t="n"/>
      <c r="H888" s="164" t="n"/>
      <c r="I888" s="166" t="n"/>
      <c r="J888" s="166" t="n"/>
      <c r="K888" s="166" t="n"/>
      <c r="L888" s="168" t="n"/>
      <c r="M888" s="167">
        <f>H888*I888+J888+K888</f>
        <v/>
      </c>
      <c r="N888" s="167">
        <f>M888*L888</f>
        <v/>
      </c>
      <c r="O888" s="167">
        <f>M888+N888</f>
        <v/>
      </c>
      <c r="P888" s="164" t="n"/>
    </row>
    <row r="889">
      <c r="A889" s="173" t="n"/>
      <c r="B889" s="164" t="n"/>
      <c r="C889" s="164" t="n"/>
      <c r="D889" s="164" t="n"/>
      <c r="E889" s="164" t="n"/>
      <c r="F889" s="164" t="n"/>
      <c r="G889" s="164" t="n"/>
      <c r="H889" s="164" t="n"/>
      <c r="I889" s="166" t="n"/>
      <c r="J889" s="166" t="n"/>
      <c r="K889" s="166" t="n"/>
      <c r="L889" s="168" t="n"/>
      <c r="M889" s="167">
        <f>H889*I889+J889+K889</f>
        <v/>
      </c>
      <c r="N889" s="167">
        <f>M889*L889</f>
        <v/>
      </c>
      <c r="O889" s="167">
        <f>M889+N889</f>
        <v/>
      </c>
      <c r="P889" s="164" t="n"/>
    </row>
    <row r="890">
      <c r="A890" s="173" t="n"/>
      <c r="B890" s="164" t="n"/>
      <c r="C890" s="164" t="n"/>
      <c r="D890" s="164" t="n"/>
      <c r="E890" s="164" t="n"/>
      <c r="F890" s="164" t="n"/>
      <c r="G890" s="164" t="n"/>
      <c r="H890" s="164" t="n"/>
      <c r="I890" s="166" t="n"/>
      <c r="J890" s="166" t="n"/>
      <c r="K890" s="166" t="n"/>
      <c r="L890" s="168" t="n"/>
      <c r="M890" s="167">
        <f>H890*I890+J890+K890</f>
        <v/>
      </c>
      <c r="N890" s="167">
        <f>M890*L890</f>
        <v/>
      </c>
      <c r="O890" s="167">
        <f>M890+N890</f>
        <v/>
      </c>
      <c r="P890" s="164" t="n"/>
    </row>
    <row r="891">
      <c r="A891" s="173" t="n"/>
      <c r="B891" s="164" t="n"/>
      <c r="C891" s="164" t="n"/>
      <c r="D891" s="164" t="n"/>
      <c r="E891" s="164" t="n"/>
      <c r="F891" s="164" t="n"/>
      <c r="G891" s="164" t="n"/>
      <c r="H891" s="164" t="n"/>
      <c r="I891" s="166" t="n"/>
      <c r="J891" s="166" t="n"/>
      <c r="K891" s="166" t="n"/>
      <c r="L891" s="168" t="n"/>
      <c r="M891" s="167">
        <f>H891*I891+J891+K891</f>
        <v/>
      </c>
      <c r="N891" s="167">
        <f>M891*L891</f>
        <v/>
      </c>
      <c r="O891" s="167">
        <f>M891+N891</f>
        <v/>
      </c>
      <c r="P891" s="164" t="n"/>
    </row>
    <row r="892">
      <c r="A892" s="173" t="n"/>
      <c r="B892" s="164" t="n"/>
      <c r="C892" s="164" t="n"/>
      <c r="D892" s="164" t="n"/>
      <c r="E892" s="164" t="n"/>
      <c r="F892" s="164" t="n"/>
      <c r="G892" s="164" t="n"/>
      <c r="H892" s="164" t="n"/>
      <c r="I892" s="166" t="n"/>
      <c r="J892" s="166" t="n"/>
      <c r="K892" s="166" t="n"/>
      <c r="L892" s="168" t="n"/>
      <c r="M892" s="167">
        <f>H892*I892+J892+K892</f>
        <v/>
      </c>
      <c r="N892" s="167">
        <f>M892*L892</f>
        <v/>
      </c>
      <c r="O892" s="167">
        <f>M892+N892</f>
        <v/>
      </c>
      <c r="P892" s="164" t="n"/>
    </row>
    <row r="893">
      <c r="A893" s="173" t="n"/>
      <c r="B893" s="164" t="n"/>
      <c r="C893" s="164" t="n"/>
      <c r="D893" s="164" t="n"/>
      <c r="E893" s="164" t="n"/>
      <c r="F893" s="164" t="n"/>
      <c r="G893" s="164" t="n"/>
      <c r="H893" s="164" t="n"/>
      <c r="I893" s="166" t="n"/>
      <c r="J893" s="166" t="n"/>
      <c r="K893" s="166" t="n"/>
      <c r="L893" s="168" t="n"/>
      <c r="M893" s="167">
        <f>H893*I893+J893+K893</f>
        <v/>
      </c>
      <c r="N893" s="167">
        <f>M893*L893</f>
        <v/>
      </c>
      <c r="O893" s="167">
        <f>M893+N893</f>
        <v/>
      </c>
      <c r="P893" s="164" t="n"/>
    </row>
    <row r="894">
      <c r="A894" s="173" t="n"/>
      <c r="B894" s="164" t="n"/>
      <c r="C894" s="164" t="n"/>
      <c r="D894" s="164" t="n"/>
      <c r="E894" s="164" t="n"/>
      <c r="F894" s="164" t="n"/>
      <c r="G894" s="164" t="n"/>
      <c r="H894" s="164" t="n"/>
      <c r="I894" s="166" t="n"/>
      <c r="J894" s="166" t="n"/>
      <c r="K894" s="166" t="n"/>
      <c r="L894" s="168" t="n"/>
      <c r="M894" s="167">
        <f>H894*I894+J894+K894</f>
        <v/>
      </c>
      <c r="N894" s="167">
        <f>M894*L894</f>
        <v/>
      </c>
      <c r="O894" s="167">
        <f>M894+N894</f>
        <v/>
      </c>
      <c r="P894" s="164" t="n"/>
    </row>
    <row r="895">
      <c r="A895" s="173" t="n"/>
      <c r="B895" s="164" t="n"/>
      <c r="C895" s="164" t="n"/>
      <c r="D895" s="164" t="n"/>
      <c r="E895" s="164" t="n"/>
      <c r="F895" s="164" t="n"/>
      <c r="G895" s="164" t="n"/>
      <c r="H895" s="164" t="n"/>
      <c r="I895" s="166" t="n"/>
      <c r="J895" s="166" t="n"/>
      <c r="K895" s="166" t="n"/>
      <c r="L895" s="168" t="n"/>
      <c r="M895" s="167">
        <f>H895*I895+J895+K895</f>
        <v/>
      </c>
      <c r="N895" s="167">
        <f>M895*L895</f>
        <v/>
      </c>
      <c r="O895" s="167">
        <f>M895+N895</f>
        <v/>
      </c>
      <c r="P895" s="164" t="n"/>
    </row>
    <row r="896">
      <c r="A896" s="173" t="n"/>
      <c r="B896" s="164" t="n"/>
      <c r="C896" s="164" t="n"/>
      <c r="D896" s="164" t="n"/>
      <c r="E896" s="164" t="n"/>
      <c r="F896" s="164" t="n"/>
      <c r="G896" s="164" t="n"/>
      <c r="H896" s="164" t="n"/>
      <c r="I896" s="166" t="n"/>
      <c r="J896" s="166" t="n"/>
      <c r="K896" s="166" t="n"/>
      <c r="L896" s="168" t="n"/>
      <c r="M896" s="167">
        <f>H896*I896+J896+K896</f>
        <v/>
      </c>
      <c r="N896" s="167">
        <f>M896*L896</f>
        <v/>
      </c>
      <c r="O896" s="167">
        <f>M896+N896</f>
        <v/>
      </c>
      <c r="P896" s="164" t="n"/>
    </row>
    <row r="897">
      <c r="A897" s="173" t="n"/>
      <c r="B897" s="164" t="n"/>
      <c r="C897" s="164" t="n"/>
      <c r="D897" s="164" t="n"/>
      <c r="E897" s="164" t="n"/>
      <c r="F897" s="164" t="n"/>
      <c r="G897" s="164" t="n"/>
      <c r="H897" s="164" t="n"/>
      <c r="I897" s="166" t="n"/>
      <c r="J897" s="166" t="n"/>
      <c r="K897" s="166" t="n"/>
      <c r="L897" s="168" t="n"/>
      <c r="M897" s="167">
        <f>H897*I897+J897+K897</f>
        <v/>
      </c>
      <c r="N897" s="167">
        <f>M897*L897</f>
        <v/>
      </c>
      <c r="O897" s="167">
        <f>M897+N897</f>
        <v/>
      </c>
      <c r="P897" s="164" t="n"/>
    </row>
    <row r="898">
      <c r="A898" s="173" t="n"/>
      <c r="B898" s="164" t="n"/>
      <c r="C898" s="164" t="n"/>
      <c r="D898" s="164" t="n"/>
      <c r="E898" s="164" t="n"/>
      <c r="F898" s="164" t="n"/>
      <c r="G898" s="164" t="n"/>
      <c r="H898" s="164" t="n"/>
      <c r="I898" s="166" t="n"/>
      <c r="J898" s="166" t="n"/>
      <c r="K898" s="166" t="n"/>
      <c r="L898" s="168" t="n"/>
      <c r="M898" s="167">
        <f>H898*I898+J898+K898</f>
        <v/>
      </c>
      <c r="N898" s="167">
        <f>M898*L898</f>
        <v/>
      </c>
      <c r="O898" s="167">
        <f>M898+N898</f>
        <v/>
      </c>
      <c r="P898" s="164" t="n"/>
    </row>
    <row r="899">
      <c r="A899" s="173" t="n"/>
      <c r="B899" s="164" t="n"/>
      <c r="C899" s="164" t="n"/>
      <c r="D899" s="164" t="n"/>
      <c r="E899" s="164" t="n"/>
      <c r="F899" s="164" t="n"/>
      <c r="G899" s="164" t="n"/>
      <c r="H899" s="164" t="n"/>
      <c r="I899" s="166" t="n"/>
      <c r="J899" s="166" t="n"/>
      <c r="K899" s="166" t="n"/>
      <c r="L899" s="168" t="n"/>
      <c r="M899" s="167">
        <f>H899*I899+J899+K899</f>
        <v/>
      </c>
      <c r="N899" s="167">
        <f>M899*L899</f>
        <v/>
      </c>
      <c r="O899" s="167">
        <f>M899+N899</f>
        <v/>
      </c>
      <c r="P899" s="164" t="n"/>
    </row>
    <row r="900">
      <c r="A900" s="173" t="n"/>
      <c r="B900" s="164" t="n"/>
      <c r="C900" s="164" t="n"/>
      <c r="D900" s="164" t="n"/>
      <c r="E900" s="164" t="n"/>
      <c r="F900" s="164" t="n"/>
      <c r="G900" s="164" t="n"/>
      <c r="H900" s="164" t="n"/>
      <c r="I900" s="166" t="n"/>
      <c r="J900" s="166" t="n"/>
      <c r="K900" s="166" t="n"/>
      <c r="L900" s="168" t="n"/>
      <c r="M900" s="167">
        <f>H900*I900+J900+K900</f>
        <v/>
      </c>
      <c r="N900" s="167">
        <f>M900*L900</f>
        <v/>
      </c>
      <c r="O900" s="167">
        <f>M900+N900</f>
        <v/>
      </c>
      <c r="P900" s="164" t="n"/>
    </row>
    <row r="901">
      <c r="A901" s="173" t="n"/>
      <c r="B901" s="164" t="n"/>
      <c r="C901" s="164" t="n"/>
      <c r="D901" s="164" t="n"/>
      <c r="E901" s="164" t="n"/>
      <c r="F901" s="164" t="n"/>
      <c r="G901" s="164" t="n"/>
      <c r="H901" s="164" t="n"/>
      <c r="I901" s="166" t="n"/>
      <c r="J901" s="166" t="n"/>
      <c r="K901" s="166" t="n"/>
      <c r="L901" s="168" t="n"/>
      <c r="M901" s="167">
        <f>H901*I901+J901+K901</f>
        <v/>
      </c>
      <c r="N901" s="167">
        <f>M901*L901</f>
        <v/>
      </c>
      <c r="O901" s="167">
        <f>M901+N901</f>
        <v/>
      </c>
      <c r="P901" s="164" t="n"/>
    </row>
    <row r="902">
      <c r="A902" s="173" t="n"/>
      <c r="B902" s="164" t="n"/>
      <c r="C902" s="164" t="n"/>
      <c r="D902" s="164" t="n"/>
      <c r="E902" s="164" t="n"/>
      <c r="F902" s="164" t="n"/>
      <c r="G902" s="164" t="n"/>
      <c r="H902" s="164" t="n"/>
      <c r="I902" s="166" t="n"/>
      <c r="J902" s="166" t="n"/>
      <c r="K902" s="166" t="n"/>
      <c r="L902" s="168" t="n"/>
      <c r="M902" s="167">
        <f>H902*I902+J902+K902</f>
        <v/>
      </c>
      <c r="N902" s="167">
        <f>M902*L902</f>
        <v/>
      </c>
      <c r="O902" s="167">
        <f>M902+N902</f>
        <v/>
      </c>
      <c r="P902" s="164" t="n"/>
    </row>
    <row r="903">
      <c r="A903" s="173" t="n"/>
      <c r="B903" s="164" t="n"/>
      <c r="C903" s="164" t="n"/>
      <c r="D903" s="164" t="n"/>
      <c r="E903" s="164" t="n"/>
      <c r="F903" s="164" t="n"/>
      <c r="G903" s="164" t="n"/>
      <c r="H903" s="164" t="n"/>
      <c r="I903" s="166" t="n"/>
      <c r="J903" s="166" t="n"/>
      <c r="K903" s="166" t="n"/>
      <c r="L903" s="168" t="n"/>
      <c r="M903" s="167">
        <f>H903*I903+J903+K903</f>
        <v/>
      </c>
      <c r="N903" s="167">
        <f>M903*L903</f>
        <v/>
      </c>
      <c r="O903" s="167">
        <f>M903+N903</f>
        <v/>
      </c>
      <c r="P903" s="164" t="n"/>
    </row>
    <row r="904">
      <c r="A904" s="173" t="n"/>
      <c r="B904" s="164" t="n"/>
      <c r="C904" s="164" t="n"/>
      <c r="D904" s="164" t="n"/>
      <c r="E904" s="164" t="n"/>
      <c r="F904" s="164" t="n"/>
      <c r="G904" s="164" t="n"/>
      <c r="H904" s="164" t="n"/>
      <c r="I904" s="166" t="n"/>
      <c r="J904" s="166" t="n"/>
      <c r="K904" s="166" t="n"/>
      <c r="L904" s="168" t="n"/>
      <c r="M904" s="167">
        <f>H904*I904+J904+K904</f>
        <v/>
      </c>
      <c r="N904" s="167">
        <f>M904*L904</f>
        <v/>
      </c>
      <c r="O904" s="167">
        <f>M904+N904</f>
        <v/>
      </c>
      <c r="P904" s="164" t="n"/>
    </row>
    <row r="905">
      <c r="A905" s="173" t="n"/>
      <c r="B905" s="164" t="n"/>
      <c r="C905" s="164" t="n"/>
      <c r="D905" s="164" t="n"/>
      <c r="E905" s="164" t="n"/>
      <c r="F905" s="164" t="n"/>
      <c r="G905" s="164" t="n"/>
      <c r="H905" s="164" t="n"/>
      <c r="I905" s="166" t="n"/>
      <c r="J905" s="166" t="n"/>
      <c r="K905" s="166" t="n"/>
      <c r="L905" s="168" t="n"/>
      <c r="M905" s="167">
        <f>H905*I905+J905+K905</f>
        <v/>
      </c>
      <c r="N905" s="167">
        <f>M905*L905</f>
        <v/>
      </c>
      <c r="O905" s="167">
        <f>M905+N905</f>
        <v/>
      </c>
      <c r="P905" s="164" t="n"/>
    </row>
    <row r="906">
      <c r="A906" s="173" t="n"/>
      <c r="B906" s="164" t="n"/>
      <c r="C906" s="164" t="n"/>
      <c r="D906" s="164" t="n"/>
      <c r="E906" s="164" t="n"/>
      <c r="F906" s="164" t="n"/>
      <c r="G906" s="164" t="n"/>
      <c r="H906" s="164" t="n"/>
      <c r="I906" s="166" t="n"/>
      <c r="J906" s="166" t="n"/>
      <c r="K906" s="166" t="n"/>
      <c r="L906" s="168" t="n"/>
      <c r="M906" s="167">
        <f>H906*I906+J906+K906</f>
        <v/>
      </c>
      <c r="N906" s="167">
        <f>M906*L906</f>
        <v/>
      </c>
      <c r="O906" s="167">
        <f>M906+N906</f>
        <v/>
      </c>
      <c r="P906" s="164" t="n"/>
    </row>
    <row r="907">
      <c r="A907" s="173" t="n"/>
      <c r="B907" s="164" t="n"/>
      <c r="C907" s="164" t="n"/>
      <c r="D907" s="164" t="n"/>
      <c r="E907" s="164" t="n"/>
      <c r="F907" s="164" t="n"/>
      <c r="G907" s="164" t="n"/>
      <c r="H907" s="164" t="n"/>
      <c r="I907" s="166" t="n"/>
      <c r="J907" s="166" t="n"/>
      <c r="K907" s="166" t="n"/>
      <c r="L907" s="168" t="n"/>
      <c r="M907" s="167">
        <f>H907*I907+J907+K907</f>
        <v/>
      </c>
      <c r="N907" s="167">
        <f>M907*L907</f>
        <v/>
      </c>
      <c r="O907" s="167">
        <f>M907+N907</f>
        <v/>
      </c>
      <c r="P907" s="164" t="n"/>
    </row>
    <row r="908">
      <c r="A908" s="173" t="n"/>
      <c r="B908" s="164" t="n"/>
      <c r="C908" s="164" t="n"/>
      <c r="D908" s="164" t="n"/>
      <c r="E908" s="164" t="n"/>
      <c r="F908" s="164" t="n"/>
      <c r="G908" s="164" t="n"/>
      <c r="H908" s="164" t="n"/>
      <c r="I908" s="166" t="n"/>
      <c r="J908" s="166" t="n"/>
      <c r="K908" s="166" t="n"/>
      <c r="L908" s="168" t="n"/>
      <c r="M908" s="167">
        <f>H908*I908+J908+K908</f>
        <v/>
      </c>
      <c r="N908" s="167">
        <f>M908*L908</f>
        <v/>
      </c>
      <c r="O908" s="167">
        <f>M908+N908</f>
        <v/>
      </c>
      <c r="P908" s="164" t="n"/>
    </row>
    <row r="909">
      <c r="A909" s="173" t="n"/>
      <c r="B909" s="164" t="n"/>
      <c r="C909" s="164" t="n"/>
      <c r="D909" s="164" t="n"/>
      <c r="E909" s="164" t="n"/>
      <c r="F909" s="164" t="n"/>
      <c r="G909" s="164" t="n"/>
      <c r="H909" s="164" t="n"/>
      <c r="I909" s="166" t="n"/>
      <c r="J909" s="166" t="n"/>
      <c r="K909" s="166" t="n"/>
      <c r="L909" s="168" t="n"/>
      <c r="M909" s="167">
        <f>H909*I909+J909+K909</f>
        <v/>
      </c>
      <c r="N909" s="167">
        <f>M909*L909</f>
        <v/>
      </c>
      <c r="O909" s="167">
        <f>M909+N909</f>
        <v/>
      </c>
      <c r="P909" s="164" t="n"/>
    </row>
    <row r="910">
      <c r="A910" s="173" t="n"/>
      <c r="B910" s="164" t="n"/>
      <c r="C910" s="164" t="n"/>
      <c r="D910" s="164" t="n"/>
      <c r="E910" s="164" t="n"/>
      <c r="F910" s="164" t="n"/>
      <c r="G910" s="164" t="n"/>
      <c r="H910" s="164" t="n"/>
      <c r="I910" s="166" t="n"/>
      <c r="J910" s="166" t="n"/>
      <c r="K910" s="166" t="n"/>
      <c r="L910" s="168" t="n"/>
      <c r="M910" s="167">
        <f>H910*I910+J910+K910</f>
        <v/>
      </c>
      <c r="N910" s="167">
        <f>M910*L910</f>
        <v/>
      </c>
      <c r="O910" s="167">
        <f>M910+N910</f>
        <v/>
      </c>
      <c r="P910" s="164" t="n"/>
    </row>
    <row r="911">
      <c r="A911" s="173" t="n"/>
      <c r="B911" s="164" t="n"/>
      <c r="C911" s="164" t="n"/>
      <c r="D911" s="164" t="n"/>
      <c r="E911" s="164" t="n"/>
      <c r="F911" s="164" t="n"/>
      <c r="G911" s="164" t="n"/>
      <c r="H911" s="164" t="n"/>
      <c r="I911" s="166" t="n"/>
      <c r="J911" s="166" t="n"/>
      <c r="K911" s="166" t="n"/>
      <c r="L911" s="168" t="n"/>
      <c r="M911" s="167">
        <f>H911*I911+J911+K911</f>
        <v/>
      </c>
      <c r="N911" s="167">
        <f>M911*L911</f>
        <v/>
      </c>
      <c r="O911" s="167">
        <f>M911+N911</f>
        <v/>
      </c>
      <c r="P911" s="164" t="n"/>
    </row>
    <row r="912">
      <c r="A912" s="173" t="n"/>
      <c r="B912" s="164" t="n"/>
      <c r="C912" s="164" t="n"/>
      <c r="D912" s="164" t="n"/>
      <c r="E912" s="164" t="n"/>
      <c r="F912" s="164" t="n"/>
      <c r="G912" s="164" t="n"/>
      <c r="H912" s="164" t="n"/>
      <c r="I912" s="166" t="n"/>
      <c r="J912" s="166" t="n"/>
      <c r="K912" s="166" t="n"/>
      <c r="L912" s="168" t="n"/>
      <c r="M912" s="167">
        <f>H912*I912+J912+K912</f>
        <v/>
      </c>
      <c r="N912" s="167">
        <f>M912*L912</f>
        <v/>
      </c>
      <c r="O912" s="167">
        <f>M912+N912</f>
        <v/>
      </c>
      <c r="P912" s="164" t="n"/>
    </row>
    <row r="913">
      <c r="A913" s="173" t="n"/>
      <c r="B913" s="164" t="n"/>
      <c r="C913" s="164" t="n"/>
      <c r="D913" s="164" t="n"/>
      <c r="E913" s="164" t="n"/>
      <c r="F913" s="164" t="n"/>
      <c r="G913" s="164" t="n"/>
      <c r="H913" s="164" t="n"/>
      <c r="I913" s="166" t="n"/>
      <c r="J913" s="166" t="n"/>
      <c r="K913" s="166" t="n"/>
      <c r="L913" s="168" t="n"/>
      <c r="M913" s="167">
        <f>H913*I913+J913+K913</f>
        <v/>
      </c>
      <c r="N913" s="167">
        <f>M913*L913</f>
        <v/>
      </c>
      <c r="O913" s="167">
        <f>M913+N913</f>
        <v/>
      </c>
      <c r="P913" s="164" t="n"/>
    </row>
    <row r="914">
      <c r="A914" s="173" t="n"/>
      <c r="B914" s="164" t="n"/>
      <c r="C914" s="164" t="n"/>
      <c r="D914" s="164" t="n"/>
      <c r="E914" s="164" t="n"/>
      <c r="F914" s="164" t="n"/>
      <c r="G914" s="164" t="n"/>
      <c r="H914" s="164" t="n"/>
      <c r="I914" s="166" t="n"/>
      <c r="J914" s="166" t="n"/>
      <c r="K914" s="166" t="n"/>
      <c r="L914" s="168" t="n"/>
      <c r="M914" s="167">
        <f>H914*I914+J914+K914</f>
        <v/>
      </c>
      <c r="N914" s="167">
        <f>M914*L914</f>
        <v/>
      </c>
      <c r="O914" s="167">
        <f>M914+N914</f>
        <v/>
      </c>
      <c r="P914" s="164" t="n"/>
    </row>
    <row r="915">
      <c r="A915" s="173" t="n"/>
      <c r="B915" s="164" t="n"/>
      <c r="C915" s="164" t="n"/>
      <c r="D915" s="164" t="n"/>
      <c r="E915" s="164" t="n"/>
      <c r="F915" s="164" t="n"/>
      <c r="G915" s="164" t="n"/>
      <c r="H915" s="164" t="n"/>
      <c r="I915" s="166" t="n"/>
      <c r="J915" s="166" t="n"/>
      <c r="K915" s="166" t="n"/>
      <c r="L915" s="168" t="n"/>
      <c r="M915" s="167">
        <f>H915*I915+J915+K915</f>
        <v/>
      </c>
      <c r="N915" s="167">
        <f>M915*L915</f>
        <v/>
      </c>
      <c r="O915" s="167">
        <f>M915+N915</f>
        <v/>
      </c>
      <c r="P915" s="164" t="n"/>
    </row>
    <row r="916">
      <c r="A916" s="173" t="n"/>
      <c r="B916" s="164" t="n"/>
      <c r="C916" s="164" t="n"/>
      <c r="D916" s="164" t="n"/>
      <c r="E916" s="164" t="n"/>
      <c r="F916" s="164" t="n"/>
      <c r="G916" s="164" t="n"/>
      <c r="H916" s="164" t="n"/>
      <c r="I916" s="166" t="n"/>
      <c r="J916" s="166" t="n"/>
      <c r="K916" s="166" t="n"/>
      <c r="L916" s="168" t="n"/>
      <c r="M916" s="167">
        <f>H916*I916+J916+K916</f>
        <v/>
      </c>
      <c r="N916" s="167">
        <f>M916*L916</f>
        <v/>
      </c>
      <c r="O916" s="167">
        <f>M916+N916</f>
        <v/>
      </c>
      <c r="P916" s="164" t="n"/>
    </row>
    <row r="917">
      <c r="A917" s="173" t="n"/>
      <c r="B917" s="164" t="n"/>
      <c r="C917" s="164" t="n"/>
      <c r="D917" s="164" t="n"/>
      <c r="E917" s="164" t="n"/>
      <c r="F917" s="164" t="n"/>
      <c r="G917" s="164" t="n"/>
      <c r="H917" s="164" t="n"/>
      <c r="I917" s="166" t="n"/>
      <c r="J917" s="166" t="n"/>
      <c r="K917" s="166" t="n"/>
      <c r="L917" s="168" t="n"/>
      <c r="M917" s="167">
        <f>H917*I917+J917+K917</f>
        <v/>
      </c>
      <c r="N917" s="167">
        <f>M917*L917</f>
        <v/>
      </c>
      <c r="O917" s="167">
        <f>M917+N917</f>
        <v/>
      </c>
      <c r="P917" s="164" t="n"/>
    </row>
    <row r="918">
      <c r="A918" s="173" t="n"/>
      <c r="B918" s="164" t="n"/>
      <c r="C918" s="164" t="n"/>
      <c r="D918" s="164" t="n"/>
      <c r="E918" s="164" t="n"/>
      <c r="F918" s="164" t="n"/>
      <c r="G918" s="164" t="n"/>
      <c r="H918" s="164" t="n"/>
      <c r="I918" s="166" t="n"/>
      <c r="J918" s="166" t="n"/>
      <c r="K918" s="166" t="n"/>
      <c r="L918" s="168" t="n"/>
      <c r="M918" s="167">
        <f>H918*I918+J918+K918</f>
        <v/>
      </c>
      <c r="N918" s="167">
        <f>M918*L918</f>
        <v/>
      </c>
      <c r="O918" s="167">
        <f>M918+N918</f>
        <v/>
      </c>
      <c r="P918" s="164" t="n"/>
    </row>
    <row r="919">
      <c r="A919" s="173" t="n"/>
      <c r="B919" s="164" t="n"/>
      <c r="C919" s="164" t="n"/>
      <c r="D919" s="164" t="n"/>
      <c r="E919" s="164" t="n"/>
      <c r="F919" s="164" t="n"/>
      <c r="G919" s="164" t="n"/>
      <c r="H919" s="164" t="n"/>
      <c r="I919" s="166" t="n"/>
      <c r="J919" s="166" t="n"/>
      <c r="K919" s="166" t="n"/>
      <c r="L919" s="168" t="n"/>
      <c r="M919" s="167">
        <f>H919*I919+J919+K919</f>
        <v/>
      </c>
      <c r="N919" s="167">
        <f>M919*L919</f>
        <v/>
      </c>
      <c r="O919" s="167">
        <f>M919+N919</f>
        <v/>
      </c>
      <c r="P919" s="164" t="n"/>
    </row>
    <row r="920">
      <c r="A920" s="173" t="n"/>
      <c r="B920" s="164" t="n"/>
      <c r="C920" s="164" t="n"/>
      <c r="D920" s="164" t="n"/>
      <c r="E920" s="164" t="n"/>
      <c r="F920" s="164" t="n"/>
      <c r="G920" s="164" t="n"/>
      <c r="H920" s="164" t="n"/>
      <c r="I920" s="166" t="n"/>
      <c r="J920" s="166" t="n"/>
      <c r="K920" s="166" t="n"/>
      <c r="L920" s="168" t="n"/>
      <c r="M920" s="167">
        <f>H920*I920+J920+K920</f>
        <v/>
      </c>
      <c r="N920" s="167">
        <f>M920*L920</f>
        <v/>
      </c>
      <c r="O920" s="167">
        <f>M920+N920</f>
        <v/>
      </c>
      <c r="P920" s="164" t="n"/>
    </row>
    <row r="921">
      <c r="A921" s="173" t="n"/>
      <c r="B921" s="164" t="n"/>
      <c r="C921" s="164" t="n"/>
      <c r="D921" s="164" t="n"/>
      <c r="E921" s="164" t="n"/>
      <c r="F921" s="164" t="n"/>
      <c r="G921" s="164" t="n"/>
      <c r="H921" s="164" t="n"/>
      <c r="I921" s="166" t="n"/>
      <c r="J921" s="166" t="n"/>
      <c r="K921" s="166" t="n"/>
      <c r="L921" s="168" t="n"/>
      <c r="M921" s="167">
        <f>H921*I921+J921+K921</f>
        <v/>
      </c>
      <c r="N921" s="167">
        <f>M921*L921</f>
        <v/>
      </c>
      <c r="O921" s="167">
        <f>M921+N921</f>
        <v/>
      </c>
      <c r="P921" s="164" t="n"/>
    </row>
    <row r="922">
      <c r="A922" s="173" t="n"/>
      <c r="B922" s="164" t="n"/>
      <c r="C922" s="164" t="n"/>
      <c r="D922" s="164" t="n"/>
      <c r="E922" s="164" t="n"/>
      <c r="F922" s="164" t="n"/>
      <c r="G922" s="164" t="n"/>
      <c r="H922" s="164" t="n"/>
      <c r="I922" s="166" t="n"/>
      <c r="J922" s="166" t="n"/>
      <c r="K922" s="166" t="n"/>
      <c r="L922" s="168" t="n"/>
      <c r="M922" s="167">
        <f>H922*I922+J922+K922</f>
        <v/>
      </c>
      <c r="N922" s="167">
        <f>M922*L922</f>
        <v/>
      </c>
      <c r="O922" s="167">
        <f>M922+N922</f>
        <v/>
      </c>
      <c r="P922" s="164" t="n"/>
    </row>
    <row r="923">
      <c r="A923" s="173" t="n"/>
      <c r="B923" s="164" t="n"/>
      <c r="C923" s="164" t="n"/>
      <c r="D923" s="164" t="n"/>
      <c r="E923" s="164" t="n"/>
      <c r="F923" s="164" t="n"/>
      <c r="G923" s="164" t="n"/>
      <c r="H923" s="164" t="n"/>
      <c r="I923" s="166" t="n"/>
      <c r="J923" s="166" t="n"/>
      <c r="K923" s="166" t="n"/>
      <c r="L923" s="168" t="n"/>
      <c r="M923" s="167">
        <f>H923*I923+J923+K923</f>
        <v/>
      </c>
      <c r="N923" s="167">
        <f>M923*L923</f>
        <v/>
      </c>
      <c r="O923" s="167">
        <f>M923+N923</f>
        <v/>
      </c>
      <c r="P923" s="164" t="n"/>
    </row>
    <row r="924">
      <c r="A924" s="173" t="n"/>
      <c r="B924" s="164" t="n"/>
      <c r="C924" s="164" t="n"/>
      <c r="D924" s="164" t="n"/>
      <c r="E924" s="164" t="n"/>
      <c r="F924" s="164" t="n"/>
      <c r="G924" s="164" t="n"/>
      <c r="H924" s="164" t="n"/>
      <c r="I924" s="166" t="n"/>
      <c r="J924" s="166" t="n"/>
      <c r="K924" s="166" t="n"/>
      <c r="L924" s="168" t="n"/>
      <c r="M924" s="167">
        <f>H924*I924+J924+K924</f>
        <v/>
      </c>
      <c r="N924" s="167">
        <f>M924*L924</f>
        <v/>
      </c>
      <c r="O924" s="167">
        <f>M924+N924</f>
        <v/>
      </c>
      <c r="P924" s="164" t="n"/>
    </row>
    <row r="925">
      <c r="A925" s="173" t="n"/>
      <c r="B925" s="164" t="n"/>
      <c r="C925" s="164" t="n"/>
      <c r="D925" s="164" t="n"/>
      <c r="E925" s="164" t="n"/>
      <c r="F925" s="164" t="n"/>
      <c r="G925" s="164" t="n"/>
      <c r="H925" s="164" t="n"/>
      <c r="I925" s="166" t="n"/>
      <c r="J925" s="166" t="n"/>
      <c r="K925" s="166" t="n"/>
      <c r="L925" s="168" t="n"/>
      <c r="M925" s="167">
        <f>H925*I925+J925+K925</f>
        <v/>
      </c>
      <c r="N925" s="167">
        <f>M925*L925</f>
        <v/>
      </c>
      <c r="O925" s="167">
        <f>M925+N925</f>
        <v/>
      </c>
      <c r="P925" s="164" t="n"/>
    </row>
    <row r="926">
      <c r="A926" s="173" t="n"/>
      <c r="B926" s="164" t="n"/>
      <c r="C926" s="164" t="n"/>
      <c r="D926" s="164" t="n"/>
      <c r="E926" s="164" t="n"/>
      <c r="F926" s="164" t="n"/>
      <c r="G926" s="164" t="n"/>
      <c r="H926" s="164" t="n"/>
      <c r="I926" s="166" t="n"/>
      <c r="J926" s="166" t="n"/>
      <c r="K926" s="166" t="n"/>
      <c r="L926" s="168" t="n"/>
      <c r="M926" s="167">
        <f>H926*I926+J926+K926</f>
        <v/>
      </c>
      <c r="N926" s="167">
        <f>M926*L926</f>
        <v/>
      </c>
      <c r="O926" s="167">
        <f>M926+N926</f>
        <v/>
      </c>
      <c r="P926" s="164" t="n"/>
    </row>
    <row r="927">
      <c r="A927" s="173" t="n"/>
      <c r="B927" s="164" t="n"/>
      <c r="C927" s="164" t="n"/>
      <c r="D927" s="164" t="n"/>
      <c r="E927" s="164" t="n"/>
      <c r="F927" s="164" t="n"/>
      <c r="G927" s="164" t="n"/>
      <c r="H927" s="164" t="n"/>
      <c r="I927" s="166" t="n"/>
      <c r="J927" s="166" t="n"/>
      <c r="K927" s="166" t="n"/>
      <c r="L927" s="168" t="n"/>
      <c r="M927" s="167">
        <f>H927*I927+J927+K927</f>
        <v/>
      </c>
      <c r="N927" s="167">
        <f>M927*L927</f>
        <v/>
      </c>
      <c r="O927" s="167">
        <f>M927+N927</f>
        <v/>
      </c>
      <c r="P927" s="164" t="n"/>
    </row>
    <row r="928">
      <c r="A928" s="173" t="n"/>
      <c r="B928" s="164" t="n"/>
      <c r="C928" s="164" t="n"/>
      <c r="D928" s="164" t="n"/>
      <c r="E928" s="164" t="n"/>
      <c r="F928" s="164" t="n"/>
      <c r="G928" s="164" t="n"/>
      <c r="H928" s="164" t="n"/>
      <c r="I928" s="166" t="n"/>
      <c r="J928" s="166" t="n"/>
      <c r="K928" s="166" t="n"/>
      <c r="L928" s="168" t="n"/>
      <c r="M928" s="167">
        <f>H928*I928+J928+K928</f>
        <v/>
      </c>
      <c r="N928" s="167">
        <f>M928*L928</f>
        <v/>
      </c>
      <c r="O928" s="167">
        <f>M928+N928</f>
        <v/>
      </c>
      <c r="P928" s="164" t="n"/>
    </row>
    <row r="929">
      <c r="A929" s="173" t="n"/>
      <c r="B929" s="164" t="n"/>
      <c r="C929" s="164" t="n"/>
      <c r="D929" s="164" t="n"/>
      <c r="E929" s="164" t="n"/>
      <c r="F929" s="164" t="n"/>
      <c r="G929" s="164" t="n"/>
      <c r="H929" s="164" t="n"/>
      <c r="I929" s="166" t="n"/>
      <c r="J929" s="166" t="n"/>
      <c r="K929" s="166" t="n"/>
      <c r="L929" s="168" t="n"/>
      <c r="M929" s="167">
        <f>H929*I929+J929+K929</f>
        <v/>
      </c>
      <c r="N929" s="167">
        <f>M929*L929</f>
        <v/>
      </c>
      <c r="O929" s="167">
        <f>M929+N929</f>
        <v/>
      </c>
      <c r="P929" s="164" t="n"/>
    </row>
    <row r="930">
      <c r="A930" s="173" t="n"/>
      <c r="B930" s="164" t="n"/>
      <c r="C930" s="164" t="n"/>
      <c r="D930" s="164" t="n"/>
      <c r="E930" s="164" t="n"/>
      <c r="F930" s="164" t="n"/>
      <c r="G930" s="164" t="n"/>
      <c r="H930" s="164" t="n"/>
      <c r="I930" s="166" t="n"/>
      <c r="J930" s="166" t="n"/>
      <c r="K930" s="166" t="n"/>
      <c r="L930" s="168" t="n"/>
      <c r="M930" s="167">
        <f>H930*I930+J930+K930</f>
        <v/>
      </c>
      <c r="N930" s="167">
        <f>M930*L930</f>
        <v/>
      </c>
      <c r="O930" s="167">
        <f>M930+N930</f>
        <v/>
      </c>
      <c r="P930" s="164" t="n"/>
    </row>
    <row r="931">
      <c r="A931" s="173" t="n"/>
      <c r="B931" s="164" t="n"/>
      <c r="C931" s="164" t="n"/>
      <c r="D931" s="164" t="n"/>
      <c r="E931" s="164" t="n"/>
      <c r="F931" s="164" t="n"/>
      <c r="G931" s="164" t="n"/>
      <c r="H931" s="164" t="n"/>
      <c r="I931" s="166" t="n"/>
      <c r="J931" s="166" t="n"/>
      <c r="K931" s="166" t="n"/>
      <c r="L931" s="168" t="n"/>
      <c r="M931" s="167">
        <f>H931*I931+J931+K931</f>
        <v/>
      </c>
      <c r="N931" s="167">
        <f>M931*L931</f>
        <v/>
      </c>
      <c r="O931" s="167">
        <f>M931+N931</f>
        <v/>
      </c>
      <c r="P931" s="164" t="n"/>
    </row>
    <row r="932">
      <c r="A932" s="173" t="n"/>
      <c r="B932" s="164" t="n"/>
      <c r="C932" s="164" t="n"/>
      <c r="D932" s="164" t="n"/>
      <c r="E932" s="164" t="n"/>
      <c r="F932" s="164" t="n"/>
      <c r="G932" s="164" t="n"/>
      <c r="H932" s="164" t="n"/>
      <c r="I932" s="166" t="n"/>
      <c r="J932" s="166" t="n"/>
      <c r="K932" s="166" t="n"/>
      <c r="L932" s="168" t="n"/>
      <c r="M932" s="167">
        <f>H932*I932+J932+K932</f>
        <v/>
      </c>
      <c r="N932" s="167">
        <f>M932*L932</f>
        <v/>
      </c>
      <c r="O932" s="167">
        <f>M932+N932</f>
        <v/>
      </c>
      <c r="P932" s="164" t="n"/>
    </row>
    <row r="933">
      <c r="A933" s="173" t="n"/>
      <c r="B933" s="164" t="n"/>
      <c r="C933" s="164" t="n"/>
      <c r="D933" s="164" t="n"/>
      <c r="E933" s="164" t="n"/>
      <c r="F933" s="164" t="n"/>
      <c r="G933" s="164" t="n"/>
      <c r="H933" s="164" t="n"/>
      <c r="I933" s="166" t="n"/>
      <c r="J933" s="166" t="n"/>
      <c r="K933" s="166" t="n"/>
      <c r="L933" s="168" t="n"/>
      <c r="M933" s="167">
        <f>H933*I933+J933+K933</f>
        <v/>
      </c>
      <c r="N933" s="167">
        <f>M933*L933</f>
        <v/>
      </c>
      <c r="O933" s="167">
        <f>M933+N933</f>
        <v/>
      </c>
      <c r="P933" s="164" t="n"/>
    </row>
    <row r="934">
      <c r="A934" s="173" t="n"/>
      <c r="B934" s="164" t="n"/>
      <c r="C934" s="164" t="n"/>
      <c r="D934" s="164" t="n"/>
      <c r="E934" s="164" t="n"/>
      <c r="F934" s="164" t="n"/>
      <c r="G934" s="164" t="n"/>
      <c r="H934" s="164" t="n"/>
      <c r="I934" s="166" t="n"/>
      <c r="J934" s="166" t="n"/>
      <c r="K934" s="166" t="n"/>
      <c r="L934" s="168" t="n"/>
      <c r="M934" s="167">
        <f>H934*I934+J934+K934</f>
        <v/>
      </c>
      <c r="N934" s="167">
        <f>M934*L934</f>
        <v/>
      </c>
      <c r="O934" s="167">
        <f>M934+N934</f>
        <v/>
      </c>
      <c r="P934" s="164" t="n"/>
    </row>
    <row r="935">
      <c r="A935" s="173" t="n"/>
      <c r="B935" s="164" t="n"/>
      <c r="C935" s="164" t="n"/>
      <c r="D935" s="164" t="n"/>
      <c r="E935" s="164" t="n"/>
      <c r="F935" s="164" t="n"/>
      <c r="G935" s="164" t="n"/>
      <c r="H935" s="164" t="n"/>
      <c r="I935" s="166" t="n"/>
      <c r="J935" s="166" t="n"/>
      <c r="K935" s="166" t="n"/>
      <c r="L935" s="168" t="n"/>
      <c r="M935" s="167">
        <f>H935*I935+J935+K935</f>
        <v/>
      </c>
      <c r="N935" s="167">
        <f>M935*L935</f>
        <v/>
      </c>
      <c r="O935" s="167">
        <f>M935+N935</f>
        <v/>
      </c>
      <c r="P935" s="164" t="n"/>
    </row>
    <row r="936">
      <c r="A936" s="173" t="n"/>
      <c r="B936" s="164" t="n"/>
      <c r="C936" s="164" t="n"/>
      <c r="D936" s="164" t="n"/>
      <c r="E936" s="164" t="n"/>
      <c r="F936" s="164" t="n"/>
      <c r="G936" s="164" t="n"/>
      <c r="H936" s="164" t="n"/>
      <c r="I936" s="166" t="n"/>
      <c r="J936" s="166" t="n"/>
      <c r="K936" s="166" t="n"/>
      <c r="L936" s="168" t="n"/>
      <c r="M936" s="167">
        <f>H936*I936+J936+K936</f>
        <v/>
      </c>
      <c r="N936" s="167">
        <f>M936*L936</f>
        <v/>
      </c>
      <c r="O936" s="167">
        <f>M936+N936</f>
        <v/>
      </c>
      <c r="P936" s="164" t="n"/>
    </row>
    <row r="937">
      <c r="A937" s="173" t="n"/>
      <c r="B937" s="164" t="n"/>
      <c r="C937" s="164" t="n"/>
      <c r="D937" s="164" t="n"/>
      <c r="E937" s="164" t="n"/>
      <c r="F937" s="164" t="n"/>
      <c r="G937" s="164" t="n"/>
      <c r="H937" s="164" t="n"/>
      <c r="I937" s="166" t="n"/>
      <c r="J937" s="166" t="n"/>
      <c r="K937" s="166" t="n"/>
      <c r="L937" s="168" t="n"/>
      <c r="M937" s="167">
        <f>H937*I937+J937+K937</f>
        <v/>
      </c>
      <c r="N937" s="167">
        <f>M937*L937</f>
        <v/>
      </c>
      <c r="O937" s="167">
        <f>M937+N937</f>
        <v/>
      </c>
      <c r="P937" s="164" t="n"/>
    </row>
    <row r="938">
      <c r="A938" s="173" t="n"/>
      <c r="B938" s="164" t="n"/>
      <c r="C938" s="164" t="n"/>
      <c r="D938" s="164" t="n"/>
      <c r="E938" s="164" t="n"/>
      <c r="F938" s="164" t="n"/>
      <c r="G938" s="164" t="n"/>
      <c r="H938" s="164" t="n"/>
      <c r="I938" s="166" t="n"/>
      <c r="J938" s="166" t="n"/>
      <c r="K938" s="166" t="n"/>
      <c r="L938" s="168" t="n"/>
      <c r="M938" s="167">
        <f>H938*I938+J938+K938</f>
        <v/>
      </c>
      <c r="N938" s="167">
        <f>M938*L938</f>
        <v/>
      </c>
      <c r="O938" s="167">
        <f>M938+N938</f>
        <v/>
      </c>
      <c r="P938" s="164" t="n"/>
    </row>
    <row r="939">
      <c r="A939" s="173" t="n"/>
      <c r="B939" s="164" t="n"/>
      <c r="C939" s="164" t="n"/>
      <c r="D939" s="164" t="n"/>
      <c r="E939" s="164" t="n"/>
      <c r="F939" s="164" t="n"/>
      <c r="G939" s="164" t="n"/>
      <c r="H939" s="164" t="n"/>
      <c r="I939" s="166" t="n"/>
      <c r="J939" s="166" t="n"/>
      <c r="K939" s="166" t="n"/>
      <c r="L939" s="168" t="n"/>
      <c r="M939" s="167">
        <f>H939*I939+J939+K939</f>
        <v/>
      </c>
      <c r="N939" s="167">
        <f>M939*L939</f>
        <v/>
      </c>
      <c r="O939" s="167">
        <f>M939+N939</f>
        <v/>
      </c>
      <c r="P939" s="164" t="n"/>
    </row>
    <row r="940">
      <c r="A940" s="173" t="n"/>
      <c r="B940" s="164" t="n"/>
      <c r="C940" s="164" t="n"/>
      <c r="D940" s="164" t="n"/>
      <c r="E940" s="164" t="n"/>
      <c r="F940" s="164" t="n"/>
      <c r="G940" s="164" t="n"/>
      <c r="H940" s="164" t="n"/>
      <c r="I940" s="166" t="n"/>
      <c r="J940" s="166" t="n"/>
      <c r="K940" s="166" t="n"/>
      <c r="L940" s="168" t="n"/>
      <c r="M940" s="167">
        <f>H940*I940+J940+K940</f>
        <v/>
      </c>
      <c r="N940" s="167">
        <f>M940*L940</f>
        <v/>
      </c>
      <c r="O940" s="167">
        <f>M940+N940</f>
        <v/>
      </c>
      <c r="P940" s="164" t="n"/>
    </row>
    <row r="941">
      <c r="A941" s="173" t="n"/>
      <c r="B941" s="164" t="n"/>
      <c r="C941" s="164" t="n"/>
      <c r="D941" s="164" t="n"/>
      <c r="E941" s="164" t="n"/>
      <c r="F941" s="164" t="n"/>
      <c r="G941" s="164" t="n"/>
      <c r="H941" s="164" t="n"/>
      <c r="I941" s="166" t="n"/>
      <c r="J941" s="166" t="n"/>
      <c r="K941" s="166" t="n"/>
      <c r="L941" s="168" t="n"/>
      <c r="M941" s="167">
        <f>H941*I941+J941+K941</f>
        <v/>
      </c>
      <c r="N941" s="167">
        <f>M941*L941</f>
        <v/>
      </c>
      <c r="O941" s="167">
        <f>M941+N941</f>
        <v/>
      </c>
      <c r="P941" s="164" t="n"/>
    </row>
    <row r="942">
      <c r="A942" s="173" t="n"/>
      <c r="B942" s="164" t="n"/>
      <c r="C942" s="164" t="n"/>
      <c r="D942" s="164" t="n"/>
      <c r="E942" s="164" t="n"/>
      <c r="F942" s="164" t="n"/>
      <c r="G942" s="164" t="n"/>
      <c r="H942" s="164" t="n"/>
      <c r="I942" s="166" t="n"/>
      <c r="J942" s="166" t="n"/>
      <c r="K942" s="166" t="n"/>
      <c r="L942" s="168" t="n"/>
      <c r="M942" s="167">
        <f>H942*I942+J942+K942</f>
        <v/>
      </c>
      <c r="N942" s="167">
        <f>M942*L942</f>
        <v/>
      </c>
      <c r="O942" s="167">
        <f>M942+N942</f>
        <v/>
      </c>
      <c r="P942" s="164" t="n"/>
    </row>
    <row r="943">
      <c r="A943" s="173" t="n"/>
      <c r="B943" s="164" t="n"/>
      <c r="C943" s="164" t="n"/>
      <c r="D943" s="164" t="n"/>
      <c r="E943" s="164" t="n"/>
      <c r="F943" s="164" t="n"/>
      <c r="G943" s="164" t="n"/>
      <c r="H943" s="164" t="n"/>
      <c r="I943" s="166" t="n"/>
      <c r="J943" s="166" t="n"/>
      <c r="K943" s="166" t="n"/>
      <c r="L943" s="168" t="n"/>
      <c r="M943" s="167">
        <f>H943*I943+J943+K943</f>
        <v/>
      </c>
      <c r="N943" s="167">
        <f>M943*L943</f>
        <v/>
      </c>
      <c r="O943" s="167">
        <f>M943+N943</f>
        <v/>
      </c>
      <c r="P943" s="164" t="n"/>
    </row>
    <row r="944">
      <c r="A944" s="173" t="n"/>
      <c r="B944" s="164" t="n"/>
      <c r="C944" s="164" t="n"/>
      <c r="D944" s="164" t="n"/>
      <c r="E944" s="164" t="n"/>
      <c r="F944" s="164" t="n"/>
      <c r="G944" s="164" t="n"/>
      <c r="H944" s="164" t="n"/>
      <c r="I944" s="166" t="n"/>
      <c r="J944" s="166" t="n"/>
      <c r="K944" s="166" t="n"/>
      <c r="L944" s="168" t="n"/>
      <c r="M944" s="167">
        <f>H944*I944+J944+K944</f>
        <v/>
      </c>
      <c r="N944" s="167">
        <f>M944*L944</f>
        <v/>
      </c>
      <c r="O944" s="167">
        <f>M944+N944</f>
        <v/>
      </c>
      <c r="P944" s="164" t="n"/>
    </row>
    <row r="945">
      <c r="A945" s="173" t="n"/>
      <c r="B945" s="164" t="n"/>
      <c r="C945" s="164" t="n"/>
      <c r="D945" s="164" t="n"/>
      <c r="E945" s="164" t="n"/>
      <c r="F945" s="164" t="n"/>
      <c r="G945" s="164" t="n"/>
      <c r="H945" s="164" t="n"/>
      <c r="I945" s="166" t="n"/>
      <c r="J945" s="166" t="n"/>
      <c r="K945" s="166" t="n"/>
      <c r="L945" s="168" t="n"/>
      <c r="M945" s="167">
        <f>H945*I945+J945+K945</f>
        <v/>
      </c>
      <c r="N945" s="167">
        <f>M945*L945</f>
        <v/>
      </c>
      <c r="O945" s="167">
        <f>M945+N945</f>
        <v/>
      </c>
      <c r="P945" s="164" t="n"/>
    </row>
    <row r="946">
      <c r="A946" s="173" t="n"/>
      <c r="B946" s="164" t="n"/>
      <c r="C946" s="164" t="n"/>
      <c r="D946" s="164" t="n"/>
      <c r="E946" s="164" t="n"/>
      <c r="F946" s="164" t="n"/>
      <c r="G946" s="164" t="n"/>
      <c r="H946" s="164" t="n"/>
      <c r="I946" s="166" t="n"/>
      <c r="J946" s="166" t="n"/>
      <c r="K946" s="166" t="n"/>
      <c r="L946" s="168" t="n"/>
      <c r="M946" s="167">
        <f>H946*I946+J946+K946</f>
        <v/>
      </c>
      <c r="N946" s="167">
        <f>M946*L946</f>
        <v/>
      </c>
      <c r="O946" s="167">
        <f>M946+N946</f>
        <v/>
      </c>
      <c r="P946" s="164" t="n"/>
    </row>
    <row r="947">
      <c r="A947" s="173" t="n"/>
      <c r="B947" s="164" t="n"/>
      <c r="C947" s="164" t="n"/>
      <c r="D947" s="164" t="n"/>
      <c r="E947" s="164" t="n"/>
      <c r="F947" s="164" t="n"/>
      <c r="G947" s="164" t="n"/>
      <c r="H947" s="164" t="n"/>
      <c r="I947" s="166" t="n"/>
      <c r="J947" s="166" t="n"/>
      <c r="K947" s="166" t="n"/>
      <c r="L947" s="168" t="n"/>
      <c r="M947" s="167">
        <f>H947*I947+J947+K947</f>
        <v/>
      </c>
      <c r="N947" s="167">
        <f>M947*L947</f>
        <v/>
      </c>
      <c r="O947" s="167">
        <f>M947+N947</f>
        <v/>
      </c>
      <c r="P947" s="164" t="n"/>
    </row>
    <row r="948">
      <c r="A948" s="173" t="n"/>
      <c r="B948" s="164" t="n"/>
      <c r="C948" s="164" t="n"/>
      <c r="D948" s="164" t="n"/>
      <c r="E948" s="164" t="n"/>
      <c r="F948" s="164" t="n"/>
      <c r="G948" s="164" t="n"/>
      <c r="H948" s="164" t="n"/>
      <c r="I948" s="166" t="n"/>
      <c r="J948" s="166" t="n"/>
      <c r="K948" s="166" t="n"/>
      <c r="L948" s="168" t="n"/>
      <c r="M948" s="167">
        <f>H948*I948+J948+K948</f>
        <v/>
      </c>
      <c r="N948" s="167">
        <f>M948*L948</f>
        <v/>
      </c>
      <c r="O948" s="167">
        <f>M948+N948</f>
        <v/>
      </c>
      <c r="P948" s="164" t="n"/>
    </row>
    <row r="949">
      <c r="A949" s="173" t="n"/>
      <c r="B949" s="164" t="n"/>
      <c r="C949" s="164" t="n"/>
      <c r="D949" s="164" t="n"/>
      <c r="E949" s="164" t="n"/>
      <c r="F949" s="164" t="n"/>
      <c r="G949" s="164" t="n"/>
      <c r="H949" s="164" t="n"/>
      <c r="I949" s="166" t="n"/>
      <c r="J949" s="166" t="n"/>
      <c r="K949" s="166" t="n"/>
      <c r="L949" s="168" t="n"/>
      <c r="M949" s="167">
        <f>H949*I949+J949+K949</f>
        <v/>
      </c>
      <c r="N949" s="167">
        <f>M949*L949</f>
        <v/>
      </c>
      <c r="O949" s="167">
        <f>M949+N949</f>
        <v/>
      </c>
      <c r="P949" s="164" t="n"/>
    </row>
    <row r="950">
      <c r="A950" s="173" t="n"/>
      <c r="B950" s="164" t="n"/>
      <c r="C950" s="164" t="n"/>
      <c r="D950" s="164" t="n"/>
      <c r="E950" s="164" t="n"/>
      <c r="F950" s="164" t="n"/>
      <c r="G950" s="164" t="n"/>
      <c r="H950" s="164" t="n"/>
      <c r="I950" s="166" t="n"/>
      <c r="J950" s="166" t="n"/>
      <c r="K950" s="166" t="n"/>
      <c r="L950" s="168" t="n"/>
      <c r="M950" s="167">
        <f>H950*I950+J950+K950</f>
        <v/>
      </c>
      <c r="N950" s="167">
        <f>M950*L950</f>
        <v/>
      </c>
      <c r="O950" s="167">
        <f>M950+N950</f>
        <v/>
      </c>
      <c r="P950" s="164" t="n"/>
    </row>
    <row r="951">
      <c r="A951" s="173" t="n"/>
      <c r="B951" s="164" t="n"/>
      <c r="C951" s="164" t="n"/>
      <c r="D951" s="164" t="n"/>
      <c r="E951" s="164" t="n"/>
      <c r="F951" s="164" t="n"/>
      <c r="G951" s="164" t="n"/>
      <c r="H951" s="164" t="n"/>
      <c r="I951" s="166" t="n"/>
      <c r="J951" s="166" t="n"/>
      <c r="K951" s="166" t="n"/>
      <c r="L951" s="168" t="n"/>
      <c r="M951" s="167">
        <f>H951*I951+J951+K951</f>
        <v/>
      </c>
      <c r="N951" s="167">
        <f>M951*L951</f>
        <v/>
      </c>
      <c r="O951" s="167">
        <f>M951+N951</f>
        <v/>
      </c>
      <c r="P951" s="164" t="n"/>
    </row>
    <row r="952">
      <c r="A952" s="173" t="n"/>
      <c r="B952" s="164" t="n"/>
      <c r="C952" s="164" t="n"/>
      <c r="D952" s="164" t="n"/>
      <c r="E952" s="164" t="n"/>
      <c r="F952" s="164" t="n"/>
      <c r="G952" s="164" t="n"/>
      <c r="H952" s="164" t="n"/>
      <c r="I952" s="166" t="n"/>
      <c r="J952" s="166" t="n"/>
      <c r="K952" s="166" t="n"/>
      <c r="L952" s="168" t="n"/>
      <c r="M952" s="167">
        <f>H952*I952+J952+K952</f>
        <v/>
      </c>
      <c r="N952" s="167">
        <f>M952*L952</f>
        <v/>
      </c>
      <c r="O952" s="167">
        <f>M952+N952</f>
        <v/>
      </c>
      <c r="P952" s="164" t="n"/>
    </row>
    <row r="953">
      <c r="A953" s="173" t="n"/>
      <c r="B953" s="164" t="n"/>
      <c r="C953" s="164" t="n"/>
      <c r="D953" s="164" t="n"/>
      <c r="E953" s="164" t="n"/>
      <c r="F953" s="164" t="n"/>
      <c r="G953" s="164" t="n"/>
      <c r="H953" s="164" t="n"/>
      <c r="I953" s="166" t="n"/>
      <c r="J953" s="166" t="n"/>
      <c r="K953" s="166" t="n"/>
      <c r="L953" s="168" t="n"/>
      <c r="M953" s="167">
        <f>H953*I953+J953+K953</f>
        <v/>
      </c>
      <c r="N953" s="167">
        <f>M953*L953</f>
        <v/>
      </c>
      <c r="O953" s="167">
        <f>M953+N953</f>
        <v/>
      </c>
      <c r="P953" s="164" t="n"/>
    </row>
    <row r="954">
      <c r="A954" s="173" t="n"/>
      <c r="B954" s="164" t="n"/>
      <c r="C954" s="164" t="n"/>
      <c r="D954" s="164" t="n"/>
      <c r="E954" s="164" t="n"/>
      <c r="F954" s="164" t="n"/>
      <c r="G954" s="164" t="n"/>
      <c r="H954" s="164" t="n"/>
      <c r="I954" s="166" t="n"/>
      <c r="J954" s="166" t="n"/>
      <c r="K954" s="166" t="n"/>
      <c r="L954" s="168" t="n"/>
      <c r="M954" s="167">
        <f>H954*I954+J954+K954</f>
        <v/>
      </c>
      <c r="N954" s="167">
        <f>M954*L954</f>
        <v/>
      </c>
      <c r="O954" s="167">
        <f>M954+N954</f>
        <v/>
      </c>
      <c r="P954" s="164" t="n"/>
    </row>
    <row r="955">
      <c r="A955" s="173" t="n"/>
      <c r="B955" s="164" t="n"/>
      <c r="C955" s="164" t="n"/>
      <c r="D955" s="164" t="n"/>
      <c r="E955" s="164" t="n"/>
      <c r="F955" s="164" t="n"/>
      <c r="G955" s="164" t="n"/>
      <c r="H955" s="164" t="n"/>
      <c r="I955" s="166" t="n"/>
      <c r="J955" s="166" t="n"/>
      <c r="K955" s="166" t="n"/>
      <c r="L955" s="168" t="n"/>
      <c r="M955" s="167">
        <f>H955*I955+J955+K955</f>
        <v/>
      </c>
      <c r="N955" s="167">
        <f>M955*L955</f>
        <v/>
      </c>
      <c r="O955" s="167">
        <f>M955+N955</f>
        <v/>
      </c>
      <c r="P955" s="164" t="n"/>
    </row>
    <row r="956">
      <c r="A956" s="173" t="n"/>
      <c r="B956" s="164" t="n"/>
      <c r="C956" s="164" t="n"/>
      <c r="D956" s="164" t="n"/>
      <c r="E956" s="164" t="n"/>
      <c r="F956" s="164" t="n"/>
      <c r="G956" s="164" t="n"/>
      <c r="H956" s="164" t="n"/>
      <c r="I956" s="166" t="n"/>
      <c r="J956" s="166" t="n"/>
      <c r="K956" s="166" t="n"/>
      <c r="L956" s="168" t="n"/>
      <c r="M956" s="167">
        <f>H956*I956+J956+K956</f>
        <v/>
      </c>
      <c r="N956" s="167">
        <f>M956*L956</f>
        <v/>
      </c>
      <c r="O956" s="167">
        <f>M956+N956</f>
        <v/>
      </c>
      <c r="P956" s="164" t="n"/>
    </row>
    <row r="957">
      <c r="A957" s="173" t="n"/>
      <c r="B957" s="164" t="n"/>
      <c r="C957" s="164" t="n"/>
      <c r="D957" s="164" t="n"/>
      <c r="E957" s="164" t="n"/>
      <c r="F957" s="164" t="n"/>
      <c r="G957" s="164" t="n"/>
      <c r="H957" s="164" t="n"/>
      <c r="I957" s="166" t="n"/>
      <c r="J957" s="166" t="n"/>
      <c r="K957" s="166" t="n"/>
      <c r="L957" s="168" t="n"/>
      <c r="M957" s="167">
        <f>H957*I957+J957+K957</f>
        <v/>
      </c>
      <c r="N957" s="167">
        <f>M957*L957</f>
        <v/>
      </c>
      <c r="O957" s="167">
        <f>M957+N957</f>
        <v/>
      </c>
      <c r="P957" s="164" t="n"/>
    </row>
    <row r="958">
      <c r="A958" s="173" t="n"/>
      <c r="B958" s="164" t="n"/>
      <c r="C958" s="164" t="n"/>
      <c r="D958" s="164" t="n"/>
      <c r="E958" s="164" t="n"/>
      <c r="F958" s="164" t="n"/>
      <c r="G958" s="164" t="n"/>
      <c r="H958" s="164" t="n"/>
      <c r="I958" s="166" t="n"/>
      <c r="J958" s="166" t="n"/>
      <c r="K958" s="166" t="n"/>
      <c r="L958" s="168" t="n"/>
      <c r="M958" s="167">
        <f>H958*I958+J958+K958</f>
        <v/>
      </c>
      <c r="N958" s="167">
        <f>M958*L958</f>
        <v/>
      </c>
      <c r="O958" s="167">
        <f>M958+N958</f>
        <v/>
      </c>
      <c r="P958" s="164" t="n"/>
    </row>
    <row r="959">
      <c r="A959" s="173" t="n"/>
      <c r="B959" s="164" t="n"/>
      <c r="C959" s="164" t="n"/>
      <c r="D959" s="164" t="n"/>
      <c r="E959" s="164" t="n"/>
      <c r="F959" s="164" t="n"/>
      <c r="G959" s="164" t="n"/>
      <c r="H959" s="164" t="n"/>
      <c r="I959" s="166" t="n"/>
      <c r="J959" s="166" t="n"/>
      <c r="K959" s="166" t="n"/>
      <c r="L959" s="168" t="n"/>
      <c r="M959" s="167">
        <f>H959*I959+J959+K959</f>
        <v/>
      </c>
      <c r="N959" s="167">
        <f>M959*L959</f>
        <v/>
      </c>
      <c r="O959" s="167">
        <f>M959+N959</f>
        <v/>
      </c>
      <c r="P959" s="164" t="n"/>
    </row>
    <row r="960">
      <c r="A960" s="173" t="n"/>
      <c r="B960" s="164" t="n"/>
      <c r="C960" s="164" t="n"/>
      <c r="D960" s="164" t="n"/>
      <c r="E960" s="164" t="n"/>
      <c r="F960" s="164" t="n"/>
      <c r="G960" s="164" t="n"/>
      <c r="H960" s="164" t="n"/>
      <c r="I960" s="166" t="n"/>
      <c r="J960" s="166" t="n"/>
      <c r="K960" s="166" t="n"/>
      <c r="L960" s="168" t="n"/>
      <c r="M960" s="167">
        <f>H960*I960+J960+K960</f>
        <v/>
      </c>
      <c r="N960" s="167">
        <f>M960*L960</f>
        <v/>
      </c>
      <c r="O960" s="167">
        <f>M960+N960</f>
        <v/>
      </c>
      <c r="P960" s="164" t="n"/>
    </row>
    <row r="961">
      <c r="A961" s="173" t="n"/>
      <c r="B961" s="164" t="n"/>
      <c r="C961" s="164" t="n"/>
      <c r="D961" s="164" t="n"/>
      <c r="E961" s="164" t="n"/>
      <c r="F961" s="164" t="n"/>
      <c r="G961" s="164" t="n"/>
      <c r="H961" s="164" t="n"/>
      <c r="I961" s="166" t="n"/>
      <c r="J961" s="166" t="n"/>
      <c r="K961" s="166" t="n"/>
      <c r="L961" s="168" t="n"/>
      <c r="M961" s="167">
        <f>H961*I961+J961+K961</f>
        <v/>
      </c>
      <c r="N961" s="167">
        <f>M961*L961</f>
        <v/>
      </c>
      <c r="O961" s="167">
        <f>M961+N961</f>
        <v/>
      </c>
      <c r="P961" s="164" t="n"/>
    </row>
    <row r="962">
      <c r="A962" s="173" t="n"/>
      <c r="B962" s="164" t="n"/>
      <c r="C962" s="164" t="n"/>
      <c r="D962" s="164" t="n"/>
      <c r="E962" s="164" t="n"/>
      <c r="F962" s="164" t="n"/>
      <c r="G962" s="164" t="n"/>
      <c r="H962" s="164" t="n"/>
      <c r="I962" s="166" t="n"/>
      <c r="J962" s="166" t="n"/>
      <c r="K962" s="166" t="n"/>
      <c r="L962" s="168" t="n"/>
      <c r="M962" s="167">
        <f>H962*I962+J962+K962</f>
        <v/>
      </c>
      <c r="N962" s="167">
        <f>M962*L962</f>
        <v/>
      </c>
      <c r="O962" s="167">
        <f>M962+N962</f>
        <v/>
      </c>
      <c r="P962" s="164" t="n"/>
    </row>
    <row r="963">
      <c r="A963" s="173" t="n"/>
      <c r="B963" s="164" t="n"/>
      <c r="C963" s="164" t="n"/>
      <c r="D963" s="164" t="n"/>
      <c r="E963" s="164" t="n"/>
      <c r="F963" s="164" t="n"/>
      <c r="G963" s="164" t="n"/>
      <c r="H963" s="164" t="n"/>
      <c r="I963" s="166" t="n"/>
      <c r="J963" s="166" t="n"/>
      <c r="K963" s="166" t="n"/>
      <c r="L963" s="168" t="n"/>
      <c r="M963" s="167">
        <f>H963*I963+J963+K963</f>
        <v/>
      </c>
      <c r="N963" s="167">
        <f>M963*L963</f>
        <v/>
      </c>
      <c r="O963" s="167">
        <f>M963+N963</f>
        <v/>
      </c>
      <c r="P963" s="164" t="n"/>
    </row>
    <row r="964">
      <c r="A964" s="173" t="n"/>
      <c r="B964" s="164" t="n"/>
      <c r="C964" s="164" t="n"/>
      <c r="D964" s="164" t="n"/>
      <c r="E964" s="164" t="n"/>
      <c r="F964" s="164" t="n"/>
      <c r="G964" s="164" t="n"/>
      <c r="H964" s="164" t="n"/>
      <c r="I964" s="166" t="n"/>
      <c r="J964" s="166" t="n"/>
      <c r="K964" s="166" t="n"/>
      <c r="L964" s="168" t="n"/>
      <c r="M964" s="167">
        <f>H964*I964+J964+K964</f>
        <v/>
      </c>
      <c r="N964" s="167">
        <f>M964*L964</f>
        <v/>
      </c>
      <c r="O964" s="167">
        <f>M964+N964</f>
        <v/>
      </c>
      <c r="P964" s="164" t="n"/>
    </row>
    <row r="965">
      <c r="A965" s="173" t="n"/>
      <c r="B965" s="164" t="n"/>
      <c r="C965" s="164" t="n"/>
      <c r="D965" s="164" t="n"/>
      <c r="E965" s="164" t="n"/>
      <c r="F965" s="164" t="n"/>
      <c r="G965" s="164" t="n"/>
      <c r="H965" s="164" t="n"/>
      <c r="I965" s="166" t="n"/>
      <c r="J965" s="166" t="n"/>
      <c r="K965" s="166" t="n"/>
      <c r="L965" s="168" t="n"/>
      <c r="M965" s="167">
        <f>H965*I965+J965+K965</f>
        <v/>
      </c>
      <c r="N965" s="167">
        <f>M965*L965</f>
        <v/>
      </c>
      <c r="O965" s="167">
        <f>M965+N965</f>
        <v/>
      </c>
      <c r="P965" s="164" t="n"/>
    </row>
    <row r="966">
      <c r="A966" s="173" t="n"/>
      <c r="B966" s="164" t="n"/>
      <c r="C966" s="164" t="n"/>
      <c r="D966" s="164" t="n"/>
      <c r="E966" s="164" t="n"/>
      <c r="F966" s="164" t="n"/>
      <c r="G966" s="164" t="n"/>
      <c r="H966" s="164" t="n"/>
      <c r="I966" s="166" t="n"/>
      <c r="J966" s="166" t="n"/>
      <c r="K966" s="166" t="n"/>
      <c r="L966" s="168" t="n"/>
      <c r="M966" s="167">
        <f>H966*I966+J966+K966</f>
        <v/>
      </c>
      <c r="N966" s="167">
        <f>M966*L966</f>
        <v/>
      </c>
      <c r="O966" s="167">
        <f>M966+N966</f>
        <v/>
      </c>
      <c r="P966" s="164" t="n"/>
    </row>
    <row r="967">
      <c r="A967" s="173" t="n"/>
      <c r="B967" s="164" t="n"/>
      <c r="C967" s="164" t="n"/>
      <c r="D967" s="164" t="n"/>
      <c r="E967" s="164" t="n"/>
      <c r="F967" s="164" t="n"/>
      <c r="G967" s="164" t="n"/>
      <c r="H967" s="164" t="n"/>
      <c r="I967" s="166" t="n"/>
      <c r="J967" s="166" t="n"/>
      <c r="K967" s="166" t="n"/>
      <c r="L967" s="168" t="n"/>
      <c r="M967" s="167">
        <f>H967*I967+J967+K967</f>
        <v/>
      </c>
      <c r="N967" s="167">
        <f>M967*L967</f>
        <v/>
      </c>
      <c r="O967" s="167">
        <f>M967+N967</f>
        <v/>
      </c>
      <c r="P967" s="164" t="n"/>
    </row>
    <row r="968">
      <c r="A968" s="173" t="n"/>
      <c r="B968" s="164" t="n"/>
      <c r="C968" s="164" t="n"/>
      <c r="D968" s="164" t="n"/>
      <c r="E968" s="164" t="n"/>
      <c r="F968" s="164" t="n"/>
      <c r="G968" s="164" t="n"/>
      <c r="H968" s="164" t="n"/>
      <c r="I968" s="166" t="n"/>
      <c r="J968" s="166" t="n"/>
      <c r="K968" s="166" t="n"/>
      <c r="L968" s="168" t="n"/>
      <c r="M968" s="167">
        <f>H968*I968+J968+K968</f>
        <v/>
      </c>
      <c r="N968" s="167">
        <f>M968*L968</f>
        <v/>
      </c>
      <c r="O968" s="167">
        <f>M968+N968</f>
        <v/>
      </c>
      <c r="P968" s="164" t="n"/>
    </row>
    <row r="969">
      <c r="A969" s="173" t="n"/>
      <c r="B969" s="164" t="n"/>
      <c r="C969" s="164" t="n"/>
      <c r="D969" s="164" t="n"/>
      <c r="E969" s="164" t="n"/>
      <c r="F969" s="164" t="n"/>
      <c r="G969" s="164" t="n"/>
      <c r="H969" s="164" t="n"/>
      <c r="I969" s="166" t="n"/>
      <c r="J969" s="166" t="n"/>
      <c r="K969" s="166" t="n"/>
      <c r="L969" s="168" t="n"/>
      <c r="M969" s="167">
        <f>H969*I969+J969+K969</f>
        <v/>
      </c>
      <c r="N969" s="167">
        <f>M969*L969</f>
        <v/>
      </c>
      <c r="O969" s="167">
        <f>M969+N969</f>
        <v/>
      </c>
      <c r="P969" s="164" t="n"/>
    </row>
    <row r="970">
      <c r="A970" s="173" t="n"/>
      <c r="B970" s="164" t="n"/>
      <c r="C970" s="164" t="n"/>
      <c r="D970" s="164" t="n"/>
      <c r="E970" s="164" t="n"/>
      <c r="F970" s="164" t="n"/>
      <c r="G970" s="164" t="n"/>
      <c r="H970" s="164" t="n"/>
      <c r="I970" s="166" t="n"/>
      <c r="J970" s="166" t="n"/>
      <c r="K970" s="166" t="n"/>
      <c r="L970" s="168" t="n"/>
      <c r="M970" s="167">
        <f>H970*I970+J970+K970</f>
        <v/>
      </c>
      <c r="N970" s="167">
        <f>M970*L970</f>
        <v/>
      </c>
      <c r="O970" s="167">
        <f>M970+N970</f>
        <v/>
      </c>
      <c r="P970" s="164" t="n"/>
    </row>
    <row r="971">
      <c r="A971" s="173" t="n"/>
      <c r="B971" s="164" t="n"/>
      <c r="C971" s="164" t="n"/>
      <c r="D971" s="164" t="n"/>
      <c r="E971" s="164" t="n"/>
      <c r="F971" s="164" t="n"/>
      <c r="G971" s="164" t="n"/>
      <c r="H971" s="164" t="n"/>
      <c r="I971" s="166" t="n"/>
      <c r="J971" s="166" t="n"/>
      <c r="K971" s="166" t="n"/>
      <c r="L971" s="168" t="n"/>
      <c r="M971" s="167">
        <f>H971*I971+J971+K971</f>
        <v/>
      </c>
      <c r="N971" s="167">
        <f>M971*L971</f>
        <v/>
      </c>
      <c r="O971" s="167">
        <f>M971+N971</f>
        <v/>
      </c>
      <c r="P971" s="164" t="n"/>
    </row>
    <row r="972">
      <c r="A972" s="173" t="n"/>
      <c r="B972" s="164" t="n"/>
      <c r="C972" s="164" t="n"/>
      <c r="D972" s="164" t="n"/>
      <c r="E972" s="164" t="n"/>
      <c r="F972" s="164" t="n"/>
      <c r="G972" s="164" t="n"/>
      <c r="H972" s="164" t="n"/>
      <c r="I972" s="166" t="n"/>
      <c r="J972" s="166" t="n"/>
      <c r="K972" s="166" t="n"/>
      <c r="L972" s="168" t="n"/>
      <c r="M972" s="167">
        <f>H972*I972+J972+K972</f>
        <v/>
      </c>
      <c r="N972" s="167">
        <f>M972*L972</f>
        <v/>
      </c>
      <c r="O972" s="167">
        <f>M972+N972</f>
        <v/>
      </c>
      <c r="P972" s="164" t="n"/>
    </row>
    <row r="973">
      <c r="A973" s="173" t="n"/>
      <c r="B973" s="164" t="n"/>
      <c r="C973" s="164" t="n"/>
      <c r="D973" s="164" t="n"/>
      <c r="E973" s="164" t="n"/>
      <c r="F973" s="164" t="n"/>
      <c r="G973" s="164" t="n"/>
      <c r="H973" s="164" t="n"/>
      <c r="I973" s="166" t="n"/>
      <c r="J973" s="166" t="n"/>
      <c r="K973" s="166" t="n"/>
      <c r="L973" s="168" t="n"/>
      <c r="M973" s="167">
        <f>H973*I973+J973+K973</f>
        <v/>
      </c>
      <c r="N973" s="167">
        <f>M973*L973</f>
        <v/>
      </c>
      <c r="O973" s="167">
        <f>M973+N973</f>
        <v/>
      </c>
      <c r="P973" s="164" t="n"/>
    </row>
    <row r="974">
      <c r="A974" s="173" t="n"/>
      <c r="B974" s="164" t="n"/>
      <c r="C974" s="164" t="n"/>
      <c r="D974" s="164" t="n"/>
      <c r="E974" s="164" t="n"/>
      <c r="F974" s="164" t="n"/>
      <c r="G974" s="164" t="n"/>
      <c r="H974" s="164" t="n"/>
      <c r="I974" s="166" t="n"/>
      <c r="J974" s="166" t="n"/>
      <c r="K974" s="166" t="n"/>
      <c r="L974" s="168" t="n"/>
      <c r="M974" s="167">
        <f>H974*I974+J974+K974</f>
        <v/>
      </c>
      <c r="N974" s="167">
        <f>M974*L974</f>
        <v/>
      </c>
      <c r="O974" s="167">
        <f>M974+N974</f>
        <v/>
      </c>
      <c r="P974" s="164" t="n"/>
    </row>
    <row r="975">
      <c r="A975" s="173" t="n"/>
      <c r="B975" s="164" t="n"/>
      <c r="C975" s="164" t="n"/>
      <c r="D975" s="164" t="n"/>
      <c r="E975" s="164" t="n"/>
      <c r="F975" s="164" t="n"/>
      <c r="G975" s="164" t="n"/>
      <c r="H975" s="164" t="n"/>
      <c r="I975" s="166" t="n"/>
      <c r="J975" s="166" t="n"/>
      <c r="K975" s="166" t="n"/>
      <c r="L975" s="168" t="n"/>
      <c r="M975" s="167">
        <f>H975*I975+J975+K975</f>
        <v/>
      </c>
      <c r="N975" s="167">
        <f>M975*L975</f>
        <v/>
      </c>
      <c r="O975" s="167">
        <f>M975+N975</f>
        <v/>
      </c>
      <c r="P975" s="164" t="n"/>
    </row>
    <row r="976">
      <c r="A976" s="173" t="n"/>
      <c r="B976" s="164" t="n"/>
      <c r="C976" s="164" t="n"/>
      <c r="D976" s="164" t="n"/>
      <c r="E976" s="164" t="n"/>
      <c r="F976" s="164" t="n"/>
      <c r="G976" s="164" t="n"/>
      <c r="H976" s="164" t="n"/>
      <c r="I976" s="166" t="n"/>
      <c r="J976" s="166" t="n"/>
      <c r="K976" s="166" t="n"/>
      <c r="L976" s="168" t="n"/>
      <c r="M976" s="167">
        <f>H976*I976+J976+K976</f>
        <v/>
      </c>
      <c r="N976" s="167">
        <f>M976*L976</f>
        <v/>
      </c>
      <c r="O976" s="167">
        <f>M976+N976</f>
        <v/>
      </c>
      <c r="P976" s="164" t="n"/>
    </row>
    <row r="977">
      <c r="A977" s="173" t="n"/>
      <c r="B977" s="164" t="n"/>
      <c r="C977" s="164" t="n"/>
      <c r="D977" s="164" t="n"/>
      <c r="E977" s="164" t="n"/>
      <c r="F977" s="164" t="n"/>
      <c r="G977" s="164" t="n"/>
      <c r="H977" s="164" t="n"/>
      <c r="I977" s="166" t="n"/>
      <c r="J977" s="166" t="n"/>
      <c r="K977" s="166" t="n"/>
      <c r="L977" s="168" t="n"/>
      <c r="M977" s="167">
        <f>H977*I977+J977+K977</f>
        <v/>
      </c>
      <c r="N977" s="167">
        <f>M977*L977</f>
        <v/>
      </c>
      <c r="O977" s="167">
        <f>M977+N977</f>
        <v/>
      </c>
      <c r="P977" s="164" t="n"/>
    </row>
    <row r="978">
      <c r="A978" s="173" t="n"/>
      <c r="B978" s="164" t="n"/>
      <c r="C978" s="164" t="n"/>
      <c r="D978" s="164" t="n"/>
      <c r="E978" s="164" t="n"/>
      <c r="F978" s="164" t="n"/>
      <c r="G978" s="164" t="n"/>
      <c r="H978" s="164" t="n"/>
      <c r="I978" s="166" t="n"/>
      <c r="J978" s="166" t="n"/>
      <c r="K978" s="166" t="n"/>
      <c r="L978" s="168" t="n"/>
      <c r="M978" s="167">
        <f>H978*I978+J978+K978</f>
        <v/>
      </c>
      <c r="N978" s="167">
        <f>M978*L978</f>
        <v/>
      </c>
      <c r="O978" s="167">
        <f>M978+N978</f>
        <v/>
      </c>
      <c r="P978" s="164" t="n"/>
    </row>
    <row r="979">
      <c r="A979" s="173" t="n"/>
      <c r="B979" s="164" t="n"/>
      <c r="C979" s="164" t="n"/>
      <c r="D979" s="164" t="n"/>
      <c r="E979" s="164" t="n"/>
      <c r="F979" s="164" t="n"/>
      <c r="G979" s="164" t="n"/>
      <c r="H979" s="164" t="n"/>
      <c r="I979" s="166" t="n"/>
      <c r="J979" s="166" t="n"/>
      <c r="K979" s="166" t="n"/>
      <c r="L979" s="168" t="n"/>
      <c r="M979" s="167">
        <f>H979*I979+J979+K979</f>
        <v/>
      </c>
      <c r="N979" s="167">
        <f>M979*L979</f>
        <v/>
      </c>
      <c r="O979" s="167">
        <f>M979+N979</f>
        <v/>
      </c>
      <c r="P979" s="164" t="n"/>
    </row>
    <row r="980">
      <c r="A980" s="173" t="n"/>
      <c r="B980" s="164" t="n"/>
      <c r="C980" s="164" t="n"/>
      <c r="D980" s="164" t="n"/>
      <c r="E980" s="164" t="n"/>
      <c r="F980" s="164" t="n"/>
      <c r="G980" s="164" t="n"/>
      <c r="H980" s="164" t="n"/>
      <c r="I980" s="166" t="n"/>
      <c r="J980" s="166" t="n"/>
      <c r="K980" s="166" t="n"/>
      <c r="L980" s="168" t="n"/>
      <c r="M980" s="167">
        <f>H980*I980+J980+K980</f>
        <v/>
      </c>
      <c r="N980" s="167">
        <f>M980*L980</f>
        <v/>
      </c>
      <c r="O980" s="167">
        <f>M980+N980</f>
        <v/>
      </c>
      <c r="P980" s="164" t="n"/>
    </row>
    <row r="981">
      <c r="A981" s="173" t="n"/>
      <c r="B981" s="164" t="n"/>
      <c r="C981" s="164" t="n"/>
      <c r="D981" s="164" t="n"/>
      <c r="E981" s="164" t="n"/>
      <c r="F981" s="164" t="n"/>
      <c r="G981" s="164" t="n"/>
      <c r="H981" s="164" t="n"/>
      <c r="I981" s="166" t="n"/>
      <c r="J981" s="166" t="n"/>
      <c r="K981" s="166" t="n"/>
      <c r="L981" s="168" t="n"/>
      <c r="M981" s="167">
        <f>H981*I981+J981+K981</f>
        <v/>
      </c>
      <c r="N981" s="167">
        <f>M981*L981</f>
        <v/>
      </c>
      <c r="O981" s="167">
        <f>M981+N981</f>
        <v/>
      </c>
      <c r="P981" s="164" t="n"/>
    </row>
    <row r="982">
      <c r="A982" s="173" t="n"/>
      <c r="B982" s="164" t="n"/>
      <c r="C982" s="164" t="n"/>
      <c r="D982" s="164" t="n"/>
      <c r="E982" s="164" t="n"/>
      <c r="F982" s="164" t="n"/>
      <c r="G982" s="164" t="n"/>
      <c r="H982" s="164" t="n"/>
      <c r="I982" s="166" t="n"/>
      <c r="J982" s="166" t="n"/>
      <c r="K982" s="166" t="n"/>
      <c r="L982" s="168" t="n"/>
      <c r="M982" s="167">
        <f>H982*I982+J982+K982</f>
        <v/>
      </c>
      <c r="N982" s="167">
        <f>M982*L982</f>
        <v/>
      </c>
      <c r="O982" s="167">
        <f>M982+N982</f>
        <v/>
      </c>
      <c r="P982" s="164" t="n"/>
    </row>
    <row r="983">
      <c r="A983" s="173" t="n"/>
      <c r="B983" s="164" t="n"/>
      <c r="C983" s="164" t="n"/>
      <c r="D983" s="164" t="n"/>
      <c r="E983" s="164" t="n"/>
      <c r="F983" s="164" t="n"/>
      <c r="G983" s="164" t="n"/>
      <c r="H983" s="164" t="n"/>
      <c r="I983" s="166" t="n"/>
      <c r="J983" s="166" t="n"/>
      <c r="K983" s="166" t="n"/>
      <c r="L983" s="168" t="n"/>
      <c r="M983" s="167">
        <f>H983*I983+J983+K983</f>
        <v/>
      </c>
      <c r="N983" s="167">
        <f>M983*L983</f>
        <v/>
      </c>
      <c r="O983" s="167">
        <f>M983+N983</f>
        <v/>
      </c>
      <c r="P983" s="164" t="n"/>
    </row>
    <row r="984">
      <c r="A984" s="173" t="n"/>
      <c r="B984" s="164" t="n"/>
      <c r="C984" s="164" t="n"/>
      <c r="D984" s="164" t="n"/>
      <c r="E984" s="164" t="n"/>
      <c r="F984" s="164" t="n"/>
      <c r="G984" s="164" t="n"/>
      <c r="H984" s="164" t="n"/>
      <c r="I984" s="166" t="n"/>
      <c r="J984" s="166" t="n"/>
      <c r="K984" s="166" t="n"/>
      <c r="L984" s="168" t="n"/>
      <c r="M984" s="167">
        <f>H984*I984+J984+K984</f>
        <v/>
      </c>
      <c r="N984" s="167">
        <f>M984*L984</f>
        <v/>
      </c>
      <c r="O984" s="167">
        <f>M984+N984</f>
        <v/>
      </c>
      <c r="P984" s="164" t="n"/>
    </row>
    <row r="985">
      <c r="A985" s="173" t="n"/>
      <c r="B985" s="164" t="n"/>
      <c r="C985" s="164" t="n"/>
      <c r="D985" s="164" t="n"/>
      <c r="E985" s="164" t="n"/>
      <c r="F985" s="164" t="n"/>
      <c r="G985" s="164" t="n"/>
      <c r="H985" s="164" t="n"/>
      <c r="I985" s="166" t="n"/>
      <c r="J985" s="166" t="n"/>
      <c r="K985" s="166" t="n"/>
      <c r="L985" s="168" t="n"/>
      <c r="M985" s="167">
        <f>H985*I985+J985+K985</f>
        <v/>
      </c>
      <c r="N985" s="167">
        <f>M985*L985</f>
        <v/>
      </c>
      <c r="O985" s="167">
        <f>M985+N985</f>
        <v/>
      </c>
      <c r="P985" s="164" t="n"/>
    </row>
    <row r="986">
      <c r="A986" s="173" t="n"/>
      <c r="B986" s="164" t="n"/>
      <c r="C986" s="164" t="n"/>
      <c r="D986" s="164" t="n"/>
      <c r="E986" s="164" t="n"/>
      <c r="F986" s="164" t="n"/>
      <c r="G986" s="164" t="n"/>
      <c r="H986" s="164" t="n"/>
      <c r="I986" s="166" t="n"/>
      <c r="J986" s="166" t="n"/>
      <c r="K986" s="166" t="n"/>
      <c r="L986" s="168" t="n"/>
      <c r="M986" s="167">
        <f>H986*I986+J986+K986</f>
        <v/>
      </c>
      <c r="N986" s="167">
        <f>M986*L986</f>
        <v/>
      </c>
      <c r="O986" s="167">
        <f>M986+N986</f>
        <v/>
      </c>
      <c r="P986" s="164" t="n"/>
    </row>
    <row r="987">
      <c r="A987" s="173" t="n"/>
      <c r="B987" s="164" t="n"/>
      <c r="C987" s="164" t="n"/>
      <c r="D987" s="164" t="n"/>
      <c r="E987" s="164" t="n"/>
      <c r="F987" s="164" t="n"/>
      <c r="G987" s="164" t="n"/>
      <c r="H987" s="164" t="n"/>
      <c r="I987" s="166" t="n"/>
      <c r="J987" s="166" t="n"/>
      <c r="K987" s="166" t="n"/>
      <c r="L987" s="168" t="n"/>
      <c r="M987" s="167">
        <f>H987*I987+J987+K987</f>
        <v/>
      </c>
      <c r="N987" s="167">
        <f>M987*L987</f>
        <v/>
      </c>
      <c r="O987" s="167">
        <f>M987+N987</f>
        <v/>
      </c>
      <c r="P987" s="164" t="n"/>
    </row>
    <row r="988">
      <c r="A988" s="173" t="n"/>
      <c r="B988" s="164" t="n"/>
      <c r="C988" s="164" t="n"/>
      <c r="D988" s="164" t="n"/>
      <c r="E988" s="164" t="n"/>
      <c r="F988" s="164" t="n"/>
      <c r="G988" s="164" t="n"/>
      <c r="H988" s="164" t="n"/>
      <c r="I988" s="166" t="n"/>
      <c r="J988" s="166" t="n"/>
      <c r="K988" s="166" t="n"/>
      <c r="L988" s="168" t="n"/>
      <c r="M988" s="167">
        <f>H988*I988+J988+K988</f>
        <v/>
      </c>
      <c r="N988" s="167">
        <f>M988*L988</f>
        <v/>
      </c>
      <c r="O988" s="167">
        <f>M988+N988</f>
        <v/>
      </c>
      <c r="P988" s="164" t="n"/>
    </row>
    <row r="989">
      <c r="A989" s="173" t="n"/>
      <c r="B989" s="164" t="n"/>
      <c r="C989" s="164" t="n"/>
      <c r="D989" s="164" t="n"/>
      <c r="E989" s="164" t="n"/>
      <c r="F989" s="164" t="n"/>
      <c r="G989" s="164" t="n"/>
      <c r="H989" s="164" t="n"/>
      <c r="I989" s="166" t="n"/>
      <c r="J989" s="166" t="n"/>
      <c r="K989" s="166" t="n"/>
      <c r="L989" s="168" t="n"/>
      <c r="M989" s="167">
        <f>H989*I989+J989+K989</f>
        <v/>
      </c>
      <c r="N989" s="167">
        <f>M989*L989</f>
        <v/>
      </c>
      <c r="O989" s="167">
        <f>M989+N989</f>
        <v/>
      </c>
      <c r="P989" s="164" t="n"/>
    </row>
    <row r="990">
      <c r="A990" s="173" t="n"/>
      <c r="B990" s="164" t="n"/>
      <c r="C990" s="164" t="n"/>
      <c r="D990" s="164" t="n"/>
      <c r="E990" s="164" t="n"/>
      <c r="F990" s="164" t="n"/>
      <c r="G990" s="164" t="n"/>
      <c r="H990" s="164" t="n"/>
      <c r="I990" s="166" t="n"/>
      <c r="J990" s="166" t="n"/>
      <c r="K990" s="166" t="n"/>
      <c r="L990" s="168" t="n"/>
      <c r="M990" s="167">
        <f>H990*I990+J990+K990</f>
        <v/>
      </c>
      <c r="N990" s="167">
        <f>M990*L990</f>
        <v/>
      </c>
      <c r="O990" s="167">
        <f>M990+N990</f>
        <v/>
      </c>
      <c r="P990" s="164" t="n"/>
    </row>
    <row r="991">
      <c r="A991" s="173" t="n"/>
      <c r="B991" s="164" t="n"/>
      <c r="C991" s="164" t="n"/>
      <c r="D991" s="164" t="n"/>
      <c r="E991" s="164" t="n"/>
      <c r="F991" s="164" t="n"/>
      <c r="G991" s="164" t="n"/>
      <c r="H991" s="164" t="n"/>
      <c r="I991" s="166" t="n"/>
      <c r="J991" s="166" t="n"/>
      <c r="K991" s="166" t="n"/>
      <c r="L991" s="168" t="n"/>
      <c r="M991" s="167">
        <f>H991*I991+J991+K991</f>
        <v/>
      </c>
      <c r="N991" s="167">
        <f>M991*L991</f>
        <v/>
      </c>
      <c r="O991" s="167">
        <f>M991+N991</f>
        <v/>
      </c>
      <c r="P991" s="164" t="n"/>
    </row>
    <row r="992">
      <c r="A992" s="173" t="n"/>
      <c r="B992" s="164" t="n"/>
      <c r="C992" s="164" t="n"/>
      <c r="D992" s="164" t="n"/>
      <c r="E992" s="164" t="n"/>
      <c r="F992" s="164" t="n"/>
      <c r="G992" s="164" t="n"/>
      <c r="H992" s="164" t="n"/>
      <c r="I992" s="166" t="n"/>
      <c r="J992" s="166" t="n"/>
      <c r="K992" s="166" t="n"/>
      <c r="L992" s="168" t="n"/>
      <c r="M992" s="167">
        <f>H992*I992+J992+K992</f>
        <v/>
      </c>
      <c r="N992" s="167">
        <f>M992*L992</f>
        <v/>
      </c>
      <c r="O992" s="167">
        <f>M992+N992</f>
        <v/>
      </c>
      <c r="P992" s="164" t="n"/>
    </row>
    <row r="993">
      <c r="A993" s="173" t="n"/>
      <c r="B993" s="164" t="n"/>
      <c r="C993" s="164" t="n"/>
      <c r="D993" s="164" t="n"/>
      <c r="E993" s="164" t="n"/>
      <c r="F993" s="164" t="n"/>
      <c r="G993" s="164" t="n"/>
      <c r="H993" s="164" t="n"/>
      <c r="I993" s="166" t="n"/>
      <c r="J993" s="166" t="n"/>
      <c r="K993" s="166" t="n"/>
      <c r="L993" s="168" t="n"/>
      <c r="M993" s="167">
        <f>H993*I993+J993+K993</f>
        <v/>
      </c>
      <c r="N993" s="167">
        <f>M993*L993</f>
        <v/>
      </c>
      <c r="O993" s="167">
        <f>M993+N993</f>
        <v/>
      </c>
      <c r="P993" s="164" t="n"/>
    </row>
    <row r="994">
      <c r="A994" s="173" t="n"/>
      <c r="B994" s="164" t="n"/>
      <c r="C994" s="164" t="n"/>
      <c r="D994" s="164" t="n"/>
      <c r="E994" s="164" t="n"/>
      <c r="F994" s="164" t="n"/>
      <c r="G994" s="164" t="n"/>
      <c r="H994" s="164" t="n"/>
      <c r="I994" s="166" t="n"/>
      <c r="J994" s="166" t="n"/>
      <c r="K994" s="166" t="n"/>
      <c r="L994" s="168" t="n"/>
      <c r="M994" s="167">
        <f>H994*I994+J994+K994</f>
        <v/>
      </c>
      <c r="N994" s="167">
        <f>M994*L994</f>
        <v/>
      </c>
      <c r="O994" s="167">
        <f>M994+N994</f>
        <v/>
      </c>
      <c r="P994" s="164" t="n"/>
    </row>
    <row r="995">
      <c r="A995" s="173" t="n"/>
      <c r="B995" s="164" t="n"/>
      <c r="C995" s="164" t="n"/>
      <c r="D995" s="164" t="n"/>
      <c r="E995" s="164" t="n"/>
      <c r="F995" s="164" t="n"/>
      <c r="G995" s="164" t="n"/>
      <c r="H995" s="164" t="n"/>
      <c r="I995" s="166" t="n"/>
      <c r="J995" s="166" t="n"/>
      <c r="K995" s="166" t="n"/>
      <c r="L995" s="168" t="n"/>
      <c r="M995" s="167">
        <f>H995*I995+J995+K995</f>
        <v/>
      </c>
      <c r="N995" s="167">
        <f>M995*L995</f>
        <v/>
      </c>
      <c r="O995" s="167">
        <f>M995+N995</f>
        <v/>
      </c>
      <c r="P995" s="164" t="n"/>
    </row>
    <row r="996">
      <c r="A996" s="173" t="n"/>
      <c r="B996" s="164" t="n"/>
      <c r="C996" s="164" t="n"/>
      <c r="D996" s="164" t="n"/>
      <c r="E996" s="164" t="n"/>
      <c r="F996" s="164" t="n"/>
      <c r="G996" s="164" t="n"/>
      <c r="H996" s="164" t="n"/>
      <c r="I996" s="166" t="n"/>
      <c r="J996" s="166" t="n"/>
      <c r="K996" s="166" t="n"/>
      <c r="L996" s="168" t="n"/>
      <c r="M996" s="167">
        <f>H996*I996+J996+K996</f>
        <v/>
      </c>
      <c r="N996" s="167">
        <f>M996*L996</f>
        <v/>
      </c>
      <c r="O996" s="167">
        <f>M996+N996</f>
        <v/>
      </c>
      <c r="P996" s="164" t="n"/>
    </row>
    <row r="997">
      <c r="A997" s="173" t="n"/>
      <c r="B997" s="164" t="n"/>
      <c r="C997" s="164" t="n"/>
      <c r="D997" s="164" t="n"/>
      <c r="E997" s="164" t="n"/>
      <c r="F997" s="164" t="n"/>
      <c r="G997" s="164" t="n"/>
      <c r="H997" s="164" t="n"/>
      <c r="I997" s="166" t="n"/>
      <c r="J997" s="166" t="n"/>
      <c r="K997" s="166" t="n"/>
      <c r="L997" s="168" t="n"/>
      <c r="M997" s="167">
        <f>H997*I997+J997+K997</f>
        <v/>
      </c>
      <c r="N997" s="167">
        <f>M997*L997</f>
        <v/>
      </c>
      <c r="O997" s="167">
        <f>M997+N997</f>
        <v/>
      </c>
      <c r="P997" s="164" t="n"/>
    </row>
    <row r="998">
      <c r="A998" s="173" t="n"/>
      <c r="B998" s="164" t="n"/>
      <c r="C998" s="164" t="n"/>
      <c r="D998" s="164" t="n"/>
      <c r="E998" s="164" t="n"/>
      <c r="F998" s="164" t="n"/>
      <c r="G998" s="164" t="n"/>
      <c r="H998" s="164" t="n"/>
      <c r="I998" s="166" t="n"/>
      <c r="J998" s="166" t="n"/>
      <c r="K998" s="166" t="n"/>
      <c r="L998" s="168" t="n"/>
      <c r="M998" s="167">
        <f>H998*I998+J998+K998</f>
        <v/>
      </c>
      <c r="N998" s="167">
        <f>M998*L998</f>
        <v/>
      </c>
      <c r="O998" s="167">
        <f>M998+N998</f>
        <v/>
      </c>
      <c r="P998" s="164" t="n"/>
    </row>
    <row r="999">
      <c r="A999" s="173" t="n"/>
      <c r="B999" s="164" t="n"/>
      <c r="C999" s="164" t="n"/>
      <c r="D999" s="164" t="n"/>
      <c r="E999" s="164" t="n"/>
      <c r="F999" s="164" t="n"/>
      <c r="G999" s="164" t="n"/>
      <c r="H999" s="164" t="n"/>
      <c r="I999" s="166" t="n"/>
      <c r="J999" s="166" t="n"/>
      <c r="K999" s="166" t="n"/>
      <c r="L999" s="168" t="n"/>
      <c r="M999" s="167">
        <f>H999*I999+J999+K999</f>
        <v/>
      </c>
      <c r="N999" s="167">
        <f>M999*L999</f>
        <v/>
      </c>
      <c r="O999" s="167">
        <f>M999+N999</f>
        <v/>
      </c>
      <c r="P999" s="164" t="n"/>
    </row>
    <row r="1000">
      <c r="A1000" s="173" t="n"/>
      <c r="B1000" s="164" t="n"/>
      <c r="C1000" s="164" t="n"/>
      <c r="D1000" s="164" t="n"/>
      <c r="E1000" s="164" t="n"/>
      <c r="F1000" s="164" t="n"/>
      <c r="G1000" s="164" t="n"/>
      <c r="H1000" s="164" t="n"/>
      <c r="I1000" s="166" t="n"/>
      <c r="J1000" s="166" t="n"/>
      <c r="K1000" s="166" t="n"/>
      <c r="L1000" s="168" t="n"/>
      <c r="M1000" s="167">
        <f>H1000*I1000+J1000+K1000</f>
        <v/>
      </c>
      <c r="N1000" s="167">
        <f>M1000*L1000</f>
        <v/>
      </c>
      <c r="O1000" s="167">
        <f>M1000+N1000</f>
        <v/>
      </c>
      <c r="P1000" s="164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/>
  <autoFilter ref="A3:P1000"/>
  <mergeCells count="1">
    <mergeCell ref="A1:P1"/>
  </mergeCells>
  <dataValidations count="2">
    <dataValidation sqref="C4:C1000" showDropDown="0" showInputMessage="0" showErrorMessage="0" allowBlank="0" type="list">
      <formula1>"FACTURE,PROFORMA"</formula1>
    </dataValidation>
    <dataValidation sqref="P4:P1000" showDropDown="0" showInputMessage="0" showErrorMessage="0" allowBlank="0" type="list">
      <formula1>"BROUILLON,VALIDÉ,ANNULÉ"</formula1>
    </dataValidation>
  </dataValidations>
  <pageMargins left="0.3" right="0.3" top="0.4" bottom="0.4" header="0.3" footer="0.3"/>
  <pageSetup orientation="landscape" paperSize="9" fitToHeight="0" fitToWidth="1"/>
  <headerFooter>
    <oddHeader/>
    <oddFooter>&amp;L&amp;8 KATANGA TECHCARE&amp;R&amp;8 Page &amp;P /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111111"/>
    <outlinePr summaryBelow="1" summaryRight="1"/>
    <pageSetUpPr fitToPage="1"/>
  </sheetPr>
  <dimension ref="A1:J50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4" max="4"/>
    <col width="28" customWidth="1" min="9" max="9"/>
    <col width="28" customWidth="1" min="10" max="10"/>
  </cols>
  <sheetData>
    <row r="1" ht="26" customHeight="1">
      <c r="A1" s="9" t="inlineStr">
        <is>
          <t>JOURNAL DE STOCK — ENTRÉES / SORTIES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3" ht="24" customHeight="1">
      <c r="A3" s="14" t="inlineStr">
        <is>
          <t>Date</t>
        </is>
      </c>
      <c r="B3" s="14" t="inlineStr">
        <is>
          <t>Type mouvement</t>
        </is>
      </c>
      <c r="C3" s="14" t="inlineStr">
        <is>
          <t>Référence</t>
        </is>
      </c>
      <c r="D3" s="14" t="inlineStr">
        <is>
          <t>Désignation</t>
        </is>
      </c>
      <c r="E3" s="14" t="inlineStr">
        <is>
          <t>Document</t>
        </is>
      </c>
      <c r="F3" s="14" t="inlineStr">
        <is>
          <t>Qté entrée</t>
        </is>
      </c>
      <c r="G3" s="14" t="inlineStr">
        <is>
          <t>Qté sortie</t>
        </is>
      </c>
      <c r="H3" s="14" t="inlineStr">
        <is>
          <t>Stock après</t>
        </is>
      </c>
      <c r="I3" s="14" t="inlineStr">
        <is>
          <t>Client / Fournisseur</t>
        </is>
      </c>
      <c r="J3" s="14" t="inlineStr">
        <is>
          <t>Observation</t>
        </is>
      </c>
    </row>
    <row r="4">
      <c r="A4" s="173" t="n">
        <v>46235</v>
      </c>
      <c r="B4" s="164" t="inlineStr">
        <is>
          <t>ENTRÉE</t>
        </is>
      </c>
      <c r="C4" s="164" t="inlineStr">
        <is>
          <t>ART-0001</t>
        </is>
      </c>
      <c r="D4" s="164" t="inlineStr">
        <is>
          <t>Radio Android Mercedes-Benz</t>
        </is>
      </c>
      <c r="E4" s="164" t="inlineStr">
        <is>
          <t>ENT-0001</t>
        </is>
      </c>
      <c r="F4" s="164" t="n">
        <v>5</v>
      </c>
      <c r="G4" s="164" t="n">
        <v>0</v>
      </c>
      <c r="H4" s="164" t="n">
        <v>5</v>
      </c>
      <c r="I4" s="164" t="inlineStr">
        <is>
          <t>Fournisseur A</t>
        </is>
      </c>
      <c r="J4" s="164" t="str"/>
    </row>
    <row r="5">
      <c r="A5" s="173" t="n">
        <v>46236</v>
      </c>
      <c r="B5" s="164" t="inlineStr">
        <is>
          <t>ENTRÉE</t>
        </is>
      </c>
      <c r="C5" s="164" t="inlineStr">
        <is>
          <t>ART-0002</t>
        </is>
      </c>
      <c r="D5" s="164" t="inlineStr">
        <is>
          <t>Jante auto + capuchon central</t>
        </is>
      </c>
      <c r="E5" s="164" t="inlineStr">
        <is>
          <t>ENT-0002</t>
        </is>
      </c>
      <c r="F5" s="164" t="n">
        <v>8</v>
      </c>
      <c r="G5" s="164" t="n">
        <v>0</v>
      </c>
      <c r="H5" s="164" t="n">
        <v>8</v>
      </c>
      <c r="I5" s="164" t="inlineStr">
        <is>
          <t>Fournisseur B</t>
        </is>
      </c>
      <c r="J5" s="164" t="str"/>
    </row>
    <row r="6">
      <c r="A6" s="173" t="n">
        <v>46237</v>
      </c>
      <c r="B6" s="164" t="inlineStr">
        <is>
          <t>ENTRÉE</t>
        </is>
      </c>
      <c r="C6" s="164" t="inlineStr">
        <is>
          <t>ART-0003</t>
        </is>
      </c>
      <c r="D6" s="164" t="inlineStr">
        <is>
          <t>Samsung Galaxy A17 128G + 6G</t>
        </is>
      </c>
      <c r="E6" s="164" t="inlineStr">
        <is>
          <t>ENT-0003</t>
        </is>
      </c>
      <c r="F6" s="164" t="n">
        <v>6</v>
      </c>
      <c r="G6" s="164" t="n">
        <v>0</v>
      </c>
      <c r="H6" s="164" t="n">
        <v>6</v>
      </c>
      <c r="I6" s="164" t="inlineStr">
        <is>
          <t>Fournisseur C</t>
        </is>
      </c>
      <c r="J6" s="164" t="str"/>
    </row>
    <row r="7">
      <c r="A7" s="173" t="n">
        <v>46248</v>
      </c>
      <c r="B7" s="164" t="inlineStr">
        <is>
          <t>SORTIE</t>
        </is>
      </c>
      <c r="C7" s="164" t="inlineStr">
        <is>
          <t>ART-0001</t>
        </is>
      </c>
      <c r="D7" s="164" t="inlineStr">
        <is>
          <t>Radio Android Mercedes-Benz</t>
        </is>
      </c>
      <c r="E7" s="164" t="inlineStr">
        <is>
          <t>KTC-FAC-2026-002</t>
        </is>
      </c>
      <c r="F7" s="164" t="n">
        <v>0</v>
      </c>
      <c r="G7" s="164" t="n">
        <v>1</v>
      </c>
      <c r="H7" s="164" t="n">
        <v>4</v>
      </c>
      <c r="I7" s="164" t="inlineStr">
        <is>
          <t>MATHIEU KAYISA</t>
        </is>
      </c>
      <c r="J7" s="164" t="inlineStr">
        <is>
          <t>Sortie automatique par facture validée</t>
        </is>
      </c>
    </row>
    <row r="8">
      <c r="A8" s="173" t="n">
        <v>46249</v>
      </c>
      <c r="B8" s="164" t="inlineStr">
        <is>
          <t>SORTIE</t>
        </is>
      </c>
      <c r="C8" s="164" t="inlineStr">
        <is>
          <t>ART-0002</t>
        </is>
      </c>
      <c r="D8" s="164" t="inlineStr">
        <is>
          <t>Jante auto + capuchon central</t>
        </is>
      </c>
      <c r="E8" s="164" t="inlineStr">
        <is>
          <t>KTC-FAC-2026-003</t>
        </is>
      </c>
      <c r="F8" s="164" t="n">
        <v>0</v>
      </c>
      <c r="G8" s="164" t="n">
        <v>2</v>
      </c>
      <c r="H8" s="164" t="n">
        <v>6</v>
      </c>
      <c r="I8" s="164" t="inlineStr">
        <is>
          <t>Client Démo</t>
        </is>
      </c>
      <c r="J8" s="164" t="inlineStr">
        <is>
          <t>Exemple</t>
        </is>
      </c>
    </row>
    <row r="9">
      <c r="A9" s="173" t="n">
        <v>46266</v>
      </c>
      <c r="B9" s="164" t="inlineStr">
        <is>
          <t>ENTRÉE</t>
        </is>
      </c>
      <c r="C9" s="164" t="inlineStr">
        <is>
          <t>ART-0001</t>
        </is>
      </c>
      <c r="D9" s="164" t="inlineStr">
        <is>
          <t>Radio Android Mercedes-Benz</t>
        </is>
      </c>
      <c r="E9" s="164" t="inlineStr">
        <is>
          <t>ENT-0005</t>
        </is>
      </c>
      <c r="F9" s="164" t="n">
        <v>2</v>
      </c>
      <c r="G9" s="164" t="n">
        <v>0</v>
      </c>
      <c r="H9" s="164" t="n">
        <v>6</v>
      </c>
      <c r="I9" s="164" t="inlineStr">
        <is>
          <t>Fournisseur A</t>
        </is>
      </c>
      <c r="J9" s="164" t="inlineStr">
        <is>
          <t>Réapprovisionnement</t>
        </is>
      </c>
    </row>
    <row r="10">
      <c r="A10" s="173" t="n"/>
      <c r="B10" s="164" t="n"/>
      <c r="C10" s="164" t="n"/>
      <c r="D10" s="164" t="n"/>
      <c r="E10" s="164" t="n"/>
      <c r="F10" s="164" t="n"/>
      <c r="G10" s="164" t="n"/>
      <c r="H10" s="164" t="n"/>
      <c r="I10" s="164" t="n"/>
      <c r="J10" s="164" t="n"/>
    </row>
    <row r="11">
      <c r="A11" s="173" t="n"/>
      <c r="B11" s="164" t="n"/>
      <c r="C11" s="164" t="n"/>
      <c r="D11" s="164" t="n"/>
      <c r="E11" s="164" t="n"/>
      <c r="F11" s="164" t="n"/>
      <c r="G11" s="164" t="n"/>
      <c r="H11" s="164" t="n"/>
      <c r="I11" s="164" t="n"/>
      <c r="J11" s="164" t="n"/>
    </row>
    <row r="12">
      <c r="A12" s="173" t="n"/>
      <c r="B12" s="164" t="n"/>
      <c r="C12" s="164" t="n"/>
      <c r="D12" s="164" t="n"/>
      <c r="E12" s="164" t="n"/>
      <c r="F12" s="164" t="n"/>
      <c r="G12" s="164" t="n"/>
      <c r="H12" s="164" t="n"/>
      <c r="I12" s="164" t="n"/>
      <c r="J12" s="164" t="n"/>
    </row>
    <row r="13">
      <c r="A13" s="173" t="n"/>
      <c r="B13" s="164" t="n"/>
      <c r="C13" s="164" t="n"/>
      <c r="D13" s="164" t="n"/>
      <c r="E13" s="164" t="n"/>
      <c r="F13" s="164" t="n"/>
      <c r="G13" s="164" t="n"/>
      <c r="H13" s="164" t="n"/>
      <c r="I13" s="164" t="n"/>
      <c r="J13" s="164" t="n"/>
    </row>
    <row r="14">
      <c r="A14" s="173" t="n"/>
      <c r="B14" s="164" t="n"/>
      <c r="C14" s="164" t="n"/>
      <c r="D14" s="164" t="n"/>
      <c r="E14" s="164" t="n"/>
      <c r="F14" s="164" t="n"/>
      <c r="G14" s="164" t="n"/>
      <c r="H14" s="164" t="n"/>
      <c r="I14" s="164" t="n"/>
      <c r="J14" s="164" t="n"/>
    </row>
    <row r="15">
      <c r="A15" s="173" t="n"/>
      <c r="B15" s="164" t="n"/>
      <c r="C15" s="164" t="n"/>
      <c r="D15" s="164" t="n"/>
      <c r="E15" s="164" t="n"/>
      <c r="F15" s="164" t="n"/>
      <c r="G15" s="164" t="n"/>
      <c r="H15" s="164" t="n"/>
      <c r="I15" s="164" t="n"/>
      <c r="J15" s="164" t="n"/>
    </row>
    <row r="16">
      <c r="A16" s="173" t="n"/>
      <c r="B16" s="164" t="n"/>
      <c r="C16" s="164" t="n"/>
      <c r="D16" s="164" t="n"/>
      <c r="E16" s="164" t="n"/>
      <c r="F16" s="164" t="n"/>
      <c r="G16" s="164" t="n"/>
      <c r="H16" s="164" t="n"/>
      <c r="I16" s="164" t="n"/>
      <c r="J16" s="164" t="n"/>
    </row>
    <row r="17">
      <c r="A17" s="173" t="n"/>
      <c r="B17" s="164" t="n"/>
      <c r="C17" s="164" t="n"/>
      <c r="D17" s="164" t="n"/>
      <c r="E17" s="164" t="n"/>
      <c r="F17" s="164" t="n"/>
      <c r="G17" s="164" t="n"/>
      <c r="H17" s="164" t="n"/>
      <c r="I17" s="164" t="n"/>
      <c r="J17" s="164" t="n"/>
    </row>
    <row r="18">
      <c r="A18" s="173" t="n"/>
      <c r="B18" s="164" t="n"/>
      <c r="C18" s="164" t="n"/>
      <c r="D18" s="164" t="n"/>
      <c r="E18" s="164" t="n"/>
      <c r="F18" s="164" t="n"/>
      <c r="G18" s="164" t="n"/>
      <c r="H18" s="164" t="n"/>
      <c r="I18" s="164" t="n"/>
      <c r="J18" s="164" t="n"/>
    </row>
    <row r="19">
      <c r="A19" s="173" t="n"/>
      <c r="B19" s="164" t="n"/>
      <c r="C19" s="164" t="n"/>
      <c r="D19" s="164" t="n"/>
      <c r="E19" s="164" t="n"/>
      <c r="F19" s="164" t="n"/>
      <c r="G19" s="164" t="n"/>
      <c r="H19" s="164" t="n"/>
      <c r="I19" s="164" t="n"/>
      <c r="J19" s="164" t="n"/>
    </row>
    <row r="20">
      <c r="A20" s="173" t="n"/>
      <c r="B20" s="164" t="n"/>
      <c r="C20" s="164" t="n"/>
      <c r="D20" s="164" t="n"/>
      <c r="E20" s="164" t="n"/>
      <c r="F20" s="164" t="n"/>
      <c r="G20" s="164" t="n"/>
      <c r="H20" s="164" t="n"/>
      <c r="I20" s="164" t="n"/>
      <c r="J20" s="164" t="n"/>
    </row>
    <row r="21">
      <c r="A21" s="173" t="n"/>
      <c r="B21" s="164" t="n"/>
      <c r="C21" s="164" t="n"/>
      <c r="D21" s="164" t="n"/>
      <c r="E21" s="164" t="n"/>
      <c r="F21" s="164" t="n"/>
      <c r="G21" s="164" t="n"/>
      <c r="H21" s="164" t="n"/>
      <c r="I21" s="164" t="n"/>
      <c r="J21" s="164" t="n"/>
    </row>
    <row r="22">
      <c r="A22" s="173" t="n"/>
      <c r="B22" s="164" t="n"/>
      <c r="C22" s="164" t="n"/>
      <c r="D22" s="164" t="n"/>
      <c r="E22" s="164" t="n"/>
      <c r="F22" s="164" t="n"/>
      <c r="G22" s="164" t="n"/>
      <c r="H22" s="164" t="n"/>
      <c r="I22" s="164" t="n"/>
      <c r="J22" s="164" t="n"/>
    </row>
    <row r="23">
      <c r="A23" s="173" t="n"/>
      <c r="B23" s="164" t="n"/>
      <c r="C23" s="164" t="n"/>
      <c r="D23" s="164" t="n"/>
      <c r="E23" s="164" t="n"/>
      <c r="F23" s="164" t="n"/>
      <c r="G23" s="164" t="n"/>
      <c r="H23" s="164" t="n"/>
      <c r="I23" s="164" t="n"/>
      <c r="J23" s="164" t="n"/>
    </row>
    <row r="24">
      <c r="A24" s="173" t="n"/>
      <c r="B24" s="164" t="n"/>
      <c r="C24" s="164" t="n"/>
      <c r="D24" s="164" t="n"/>
      <c r="E24" s="164" t="n"/>
      <c r="F24" s="164" t="n"/>
      <c r="G24" s="164" t="n"/>
      <c r="H24" s="164" t="n"/>
      <c r="I24" s="164" t="n"/>
      <c r="J24" s="164" t="n"/>
    </row>
    <row r="25">
      <c r="A25" s="173" t="n"/>
      <c r="B25" s="164" t="n"/>
      <c r="C25" s="164" t="n"/>
      <c r="D25" s="164" t="n"/>
      <c r="E25" s="164" t="n"/>
      <c r="F25" s="164" t="n"/>
      <c r="G25" s="164" t="n"/>
      <c r="H25" s="164" t="n"/>
      <c r="I25" s="164" t="n"/>
      <c r="J25" s="164" t="n"/>
    </row>
    <row r="26">
      <c r="A26" s="173" t="n"/>
      <c r="B26" s="164" t="n"/>
      <c r="C26" s="164" t="n"/>
      <c r="D26" s="164" t="n"/>
      <c r="E26" s="164" t="n"/>
      <c r="F26" s="164" t="n"/>
      <c r="G26" s="164" t="n"/>
      <c r="H26" s="164" t="n"/>
      <c r="I26" s="164" t="n"/>
      <c r="J26" s="164" t="n"/>
    </row>
    <row r="27">
      <c r="A27" s="173" t="n"/>
      <c r="B27" s="164" t="n"/>
      <c r="C27" s="164" t="n"/>
      <c r="D27" s="164" t="n"/>
      <c r="E27" s="164" t="n"/>
      <c r="F27" s="164" t="n"/>
      <c r="G27" s="164" t="n"/>
      <c r="H27" s="164" t="n"/>
      <c r="I27" s="164" t="n"/>
      <c r="J27" s="164" t="n"/>
    </row>
    <row r="28">
      <c r="A28" s="173" t="n"/>
      <c r="B28" s="164" t="n"/>
      <c r="C28" s="164" t="n"/>
      <c r="D28" s="164" t="n"/>
      <c r="E28" s="164" t="n"/>
      <c r="F28" s="164" t="n"/>
      <c r="G28" s="164" t="n"/>
      <c r="H28" s="164" t="n"/>
      <c r="I28" s="164" t="n"/>
      <c r="J28" s="164" t="n"/>
    </row>
    <row r="29">
      <c r="A29" s="173" t="n"/>
      <c r="B29" s="164" t="n"/>
      <c r="C29" s="164" t="n"/>
      <c r="D29" s="164" t="n"/>
      <c r="E29" s="164" t="n"/>
      <c r="F29" s="164" t="n"/>
      <c r="G29" s="164" t="n"/>
      <c r="H29" s="164" t="n"/>
      <c r="I29" s="164" t="n"/>
      <c r="J29" s="164" t="n"/>
    </row>
    <row r="30">
      <c r="A30" s="173" t="n"/>
      <c r="B30" s="164" t="n"/>
      <c r="C30" s="164" t="n"/>
      <c r="D30" s="164" t="n"/>
      <c r="E30" s="164" t="n"/>
      <c r="F30" s="164" t="n"/>
      <c r="G30" s="164" t="n"/>
      <c r="H30" s="164" t="n"/>
      <c r="I30" s="164" t="n"/>
      <c r="J30" s="164" t="n"/>
    </row>
    <row r="31">
      <c r="A31" s="173" t="n"/>
      <c r="B31" s="164" t="n"/>
      <c r="C31" s="164" t="n"/>
      <c r="D31" s="164" t="n"/>
      <c r="E31" s="164" t="n"/>
      <c r="F31" s="164" t="n"/>
      <c r="G31" s="164" t="n"/>
      <c r="H31" s="164" t="n"/>
      <c r="I31" s="164" t="n"/>
      <c r="J31" s="164" t="n"/>
    </row>
    <row r="32">
      <c r="A32" s="173" t="n"/>
      <c r="B32" s="164" t="n"/>
      <c r="C32" s="164" t="n"/>
      <c r="D32" s="164" t="n"/>
      <c r="E32" s="164" t="n"/>
      <c r="F32" s="164" t="n"/>
      <c r="G32" s="164" t="n"/>
      <c r="H32" s="164" t="n"/>
      <c r="I32" s="164" t="n"/>
      <c r="J32" s="164" t="n"/>
    </row>
    <row r="33">
      <c r="A33" s="173" t="n"/>
      <c r="B33" s="164" t="n"/>
      <c r="C33" s="164" t="n"/>
      <c r="D33" s="164" t="n"/>
      <c r="E33" s="164" t="n"/>
      <c r="F33" s="164" t="n"/>
      <c r="G33" s="164" t="n"/>
      <c r="H33" s="164" t="n"/>
      <c r="I33" s="164" t="n"/>
      <c r="J33" s="164" t="n"/>
    </row>
    <row r="34">
      <c r="A34" s="173" t="n"/>
      <c r="B34" s="164" t="n"/>
      <c r="C34" s="164" t="n"/>
      <c r="D34" s="164" t="n"/>
      <c r="E34" s="164" t="n"/>
      <c r="F34" s="164" t="n"/>
      <c r="G34" s="164" t="n"/>
      <c r="H34" s="164" t="n"/>
      <c r="I34" s="164" t="n"/>
      <c r="J34" s="164" t="n"/>
    </row>
    <row r="35">
      <c r="A35" s="173" t="n"/>
      <c r="B35" s="164" t="n"/>
      <c r="C35" s="164" t="n"/>
      <c r="D35" s="164" t="n"/>
      <c r="E35" s="164" t="n"/>
      <c r="F35" s="164" t="n"/>
      <c r="G35" s="164" t="n"/>
      <c r="H35" s="164" t="n"/>
      <c r="I35" s="164" t="n"/>
      <c r="J35" s="164" t="n"/>
    </row>
    <row r="36">
      <c r="A36" s="173" t="n"/>
      <c r="B36" s="164" t="n"/>
      <c r="C36" s="164" t="n"/>
      <c r="D36" s="164" t="n"/>
      <c r="E36" s="164" t="n"/>
      <c r="F36" s="164" t="n"/>
      <c r="G36" s="164" t="n"/>
      <c r="H36" s="164" t="n"/>
      <c r="I36" s="164" t="n"/>
      <c r="J36" s="164" t="n"/>
    </row>
    <row r="37">
      <c r="A37" s="173" t="n"/>
      <c r="B37" s="164" t="n"/>
      <c r="C37" s="164" t="n"/>
      <c r="D37" s="164" t="n"/>
      <c r="E37" s="164" t="n"/>
      <c r="F37" s="164" t="n"/>
      <c r="G37" s="164" t="n"/>
      <c r="H37" s="164" t="n"/>
      <c r="I37" s="164" t="n"/>
      <c r="J37" s="164" t="n"/>
    </row>
    <row r="38">
      <c r="A38" s="173" t="n"/>
      <c r="B38" s="164" t="n"/>
      <c r="C38" s="164" t="n"/>
      <c r="D38" s="164" t="n"/>
      <c r="E38" s="164" t="n"/>
      <c r="F38" s="164" t="n"/>
      <c r="G38" s="164" t="n"/>
      <c r="H38" s="164" t="n"/>
      <c r="I38" s="164" t="n"/>
      <c r="J38" s="164" t="n"/>
    </row>
    <row r="39">
      <c r="A39" s="173" t="n"/>
      <c r="B39" s="164" t="n"/>
      <c r="C39" s="164" t="n"/>
      <c r="D39" s="164" t="n"/>
      <c r="E39" s="164" t="n"/>
      <c r="F39" s="164" t="n"/>
      <c r="G39" s="164" t="n"/>
      <c r="H39" s="164" t="n"/>
      <c r="I39" s="164" t="n"/>
      <c r="J39" s="164" t="n"/>
    </row>
    <row r="40">
      <c r="A40" s="173" t="n"/>
      <c r="B40" s="164" t="n"/>
      <c r="C40" s="164" t="n"/>
      <c r="D40" s="164" t="n"/>
      <c r="E40" s="164" t="n"/>
      <c r="F40" s="164" t="n"/>
      <c r="G40" s="164" t="n"/>
      <c r="H40" s="164" t="n"/>
      <c r="I40" s="164" t="n"/>
      <c r="J40" s="164" t="n"/>
    </row>
    <row r="41">
      <c r="A41" s="173" t="n"/>
      <c r="B41" s="164" t="n"/>
      <c r="C41" s="164" t="n"/>
      <c r="D41" s="164" t="n"/>
      <c r="E41" s="164" t="n"/>
      <c r="F41" s="164" t="n"/>
      <c r="G41" s="164" t="n"/>
      <c r="H41" s="164" t="n"/>
      <c r="I41" s="164" t="n"/>
      <c r="J41" s="164" t="n"/>
    </row>
    <row r="42">
      <c r="A42" s="173" t="n"/>
      <c r="B42" s="164" t="n"/>
      <c r="C42" s="164" t="n"/>
      <c r="D42" s="164" t="n"/>
      <c r="E42" s="164" t="n"/>
      <c r="F42" s="164" t="n"/>
      <c r="G42" s="164" t="n"/>
      <c r="H42" s="164" t="n"/>
      <c r="I42" s="164" t="n"/>
      <c r="J42" s="164" t="n"/>
    </row>
    <row r="43">
      <c r="A43" s="173" t="n"/>
      <c r="B43" s="164" t="n"/>
      <c r="C43" s="164" t="n"/>
      <c r="D43" s="164" t="n"/>
      <c r="E43" s="164" t="n"/>
      <c r="F43" s="164" t="n"/>
      <c r="G43" s="164" t="n"/>
      <c r="H43" s="164" t="n"/>
      <c r="I43" s="164" t="n"/>
      <c r="J43" s="164" t="n"/>
    </row>
    <row r="44">
      <c r="A44" s="173" t="n"/>
      <c r="B44" s="164" t="n"/>
      <c r="C44" s="164" t="n"/>
      <c r="D44" s="164" t="n"/>
      <c r="E44" s="164" t="n"/>
      <c r="F44" s="164" t="n"/>
      <c r="G44" s="164" t="n"/>
      <c r="H44" s="164" t="n"/>
      <c r="I44" s="164" t="n"/>
      <c r="J44" s="164" t="n"/>
    </row>
    <row r="45">
      <c r="A45" s="173" t="n"/>
      <c r="B45" s="164" t="n"/>
      <c r="C45" s="164" t="n"/>
      <c r="D45" s="164" t="n"/>
      <c r="E45" s="164" t="n"/>
      <c r="F45" s="164" t="n"/>
      <c r="G45" s="164" t="n"/>
      <c r="H45" s="164" t="n"/>
      <c r="I45" s="164" t="n"/>
      <c r="J45" s="164" t="n"/>
    </row>
    <row r="46">
      <c r="A46" s="173" t="n"/>
      <c r="B46" s="164" t="n"/>
      <c r="C46" s="164" t="n"/>
      <c r="D46" s="164" t="n"/>
      <c r="E46" s="164" t="n"/>
      <c r="F46" s="164" t="n"/>
      <c r="G46" s="164" t="n"/>
      <c r="H46" s="164" t="n"/>
      <c r="I46" s="164" t="n"/>
      <c r="J46" s="164" t="n"/>
    </row>
    <row r="47">
      <c r="A47" s="173" t="n"/>
      <c r="B47" s="164" t="n"/>
      <c r="C47" s="164" t="n"/>
      <c r="D47" s="164" t="n"/>
      <c r="E47" s="164" t="n"/>
      <c r="F47" s="164" t="n"/>
      <c r="G47" s="164" t="n"/>
      <c r="H47" s="164" t="n"/>
      <c r="I47" s="164" t="n"/>
      <c r="J47" s="164" t="n"/>
    </row>
    <row r="48">
      <c r="A48" s="173" t="n"/>
      <c r="B48" s="164" t="n"/>
      <c r="C48" s="164" t="n"/>
      <c r="D48" s="164" t="n"/>
      <c r="E48" s="164" t="n"/>
      <c r="F48" s="164" t="n"/>
      <c r="G48" s="164" t="n"/>
      <c r="H48" s="164" t="n"/>
      <c r="I48" s="164" t="n"/>
      <c r="J48" s="164" t="n"/>
    </row>
    <row r="49">
      <c r="A49" s="173" t="n"/>
      <c r="B49" s="164" t="n"/>
      <c r="C49" s="164" t="n"/>
      <c r="D49" s="164" t="n"/>
      <c r="E49" s="164" t="n"/>
      <c r="F49" s="164" t="n"/>
      <c r="G49" s="164" t="n"/>
      <c r="H49" s="164" t="n"/>
      <c r="I49" s="164" t="n"/>
      <c r="J49" s="164" t="n"/>
    </row>
    <row r="50">
      <c r="A50" s="173" t="n"/>
      <c r="B50" s="164" t="n"/>
      <c r="C50" s="164" t="n"/>
      <c r="D50" s="164" t="n"/>
      <c r="E50" s="164" t="n"/>
      <c r="F50" s="164" t="n"/>
      <c r="G50" s="164" t="n"/>
      <c r="H50" s="164" t="n"/>
      <c r="I50" s="164" t="n"/>
      <c r="J50" s="164" t="n"/>
    </row>
    <row r="51">
      <c r="A51" s="173" t="n"/>
      <c r="B51" s="164" t="n"/>
      <c r="C51" s="164" t="n"/>
      <c r="D51" s="164" t="n"/>
      <c r="E51" s="164" t="n"/>
      <c r="F51" s="164" t="n"/>
      <c r="G51" s="164" t="n"/>
      <c r="H51" s="164" t="n"/>
      <c r="I51" s="164" t="n"/>
      <c r="J51" s="164" t="n"/>
    </row>
    <row r="52">
      <c r="A52" s="173" t="n"/>
      <c r="B52" s="164" t="n"/>
      <c r="C52" s="164" t="n"/>
      <c r="D52" s="164" t="n"/>
      <c r="E52" s="164" t="n"/>
      <c r="F52" s="164" t="n"/>
      <c r="G52" s="164" t="n"/>
      <c r="H52" s="164" t="n"/>
      <c r="I52" s="164" t="n"/>
      <c r="J52" s="164" t="n"/>
    </row>
    <row r="53">
      <c r="A53" s="173" t="n"/>
      <c r="B53" s="164" t="n"/>
      <c r="C53" s="164" t="n"/>
      <c r="D53" s="164" t="n"/>
      <c r="E53" s="164" t="n"/>
      <c r="F53" s="164" t="n"/>
      <c r="G53" s="164" t="n"/>
      <c r="H53" s="164" t="n"/>
      <c r="I53" s="164" t="n"/>
      <c r="J53" s="164" t="n"/>
    </row>
    <row r="54">
      <c r="A54" s="173" t="n"/>
      <c r="B54" s="164" t="n"/>
      <c r="C54" s="164" t="n"/>
      <c r="D54" s="164" t="n"/>
      <c r="E54" s="164" t="n"/>
      <c r="F54" s="164" t="n"/>
      <c r="G54" s="164" t="n"/>
      <c r="H54" s="164" t="n"/>
      <c r="I54" s="164" t="n"/>
      <c r="J54" s="164" t="n"/>
    </row>
    <row r="55">
      <c r="A55" s="173" t="n"/>
      <c r="B55" s="164" t="n"/>
      <c r="C55" s="164" t="n"/>
      <c r="D55" s="164" t="n"/>
      <c r="E55" s="164" t="n"/>
      <c r="F55" s="164" t="n"/>
      <c r="G55" s="164" t="n"/>
      <c r="H55" s="164" t="n"/>
      <c r="I55" s="164" t="n"/>
      <c r="J55" s="164" t="n"/>
    </row>
    <row r="56">
      <c r="A56" s="173" t="n"/>
      <c r="B56" s="164" t="n"/>
      <c r="C56" s="164" t="n"/>
      <c r="D56" s="164" t="n"/>
      <c r="E56" s="164" t="n"/>
      <c r="F56" s="164" t="n"/>
      <c r="G56" s="164" t="n"/>
      <c r="H56" s="164" t="n"/>
      <c r="I56" s="164" t="n"/>
      <c r="J56" s="164" t="n"/>
    </row>
    <row r="57">
      <c r="A57" s="173" t="n"/>
      <c r="B57" s="164" t="n"/>
      <c r="C57" s="164" t="n"/>
      <c r="D57" s="164" t="n"/>
      <c r="E57" s="164" t="n"/>
      <c r="F57" s="164" t="n"/>
      <c r="G57" s="164" t="n"/>
      <c r="H57" s="164" t="n"/>
      <c r="I57" s="164" t="n"/>
      <c r="J57" s="164" t="n"/>
    </row>
    <row r="58">
      <c r="A58" s="173" t="n"/>
      <c r="B58" s="164" t="n"/>
      <c r="C58" s="164" t="n"/>
      <c r="D58" s="164" t="n"/>
      <c r="E58" s="164" t="n"/>
      <c r="F58" s="164" t="n"/>
      <c r="G58" s="164" t="n"/>
      <c r="H58" s="164" t="n"/>
      <c r="I58" s="164" t="n"/>
      <c r="J58" s="164" t="n"/>
    </row>
    <row r="59">
      <c r="A59" s="173" t="n"/>
      <c r="B59" s="164" t="n"/>
      <c r="C59" s="164" t="n"/>
      <c r="D59" s="164" t="n"/>
      <c r="E59" s="164" t="n"/>
      <c r="F59" s="164" t="n"/>
      <c r="G59" s="164" t="n"/>
      <c r="H59" s="164" t="n"/>
      <c r="I59" s="164" t="n"/>
      <c r="J59" s="164" t="n"/>
    </row>
    <row r="60">
      <c r="A60" s="173" t="n"/>
      <c r="B60" s="164" t="n"/>
      <c r="C60" s="164" t="n"/>
      <c r="D60" s="164" t="n"/>
      <c r="E60" s="164" t="n"/>
      <c r="F60" s="164" t="n"/>
      <c r="G60" s="164" t="n"/>
      <c r="H60" s="164" t="n"/>
      <c r="I60" s="164" t="n"/>
      <c r="J60" s="164" t="n"/>
    </row>
    <row r="61">
      <c r="A61" s="173" t="n"/>
      <c r="B61" s="164" t="n"/>
      <c r="C61" s="164" t="n"/>
      <c r="D61" s="164" t="n"/>
      <c r="E61" s="164" t="n"/>
      <c r="F61" s="164" t="n"/>
      <c r="G61" s="164" t="n"/>
      <c r="H61" s="164" t="n"/>
      <c r="I61" s="164" t="n"/>
      <c r="J61" s="164" t="n"/>
    </row>
    <row r="62">
      <c r="A62" s="173" t="n"/>
      <c r="B62" s="164" t="n"/>
      <c r="C62" s="164" t="n"/>
      <c r="D62" s="164" t="n"/>
      <c r="E62" s="164" t="n"/>
      <c r="F62" s="164" t="n"/>
      <c r="G62" s="164" t="n"/>
      <c r="H62" s="164" t="n"/>
      <c r="I62" s="164" t="n"/>
      <c r="J62" s="164" t="n"/>
    </row>
    <row r="63">
      <c r="A63" s="173" t="n"/>
      <c r="B63" s="164" t="n"/>
      <c r="C63" s="164" t="n"/>
      <c r="D63" s="164" t="n"/>
      <c r="E63" s="164" t="n"/>
      <c r="F63" s="164" t="n"/>
      <c r="G63" s="164" t="n"/>
      <c r="H63" s="164" t="n"/>
      <c r="I63" s="164" t="n"/>
      <c r="J63" s="164" t="n"/>
    </row>
    <row r="64">
      <c r="A64" s="173" t="n"/>
      <c r="B64" s="164" t="n"/>
      <c r="C64" s="164" t="n"/>
      <c r="D64" s="164" t="n"/>
      <c r="E64" s="164" t="n"/>
      <c r="F64" s="164" t="n"/>
      <c r="G64" s="164" t="n"/>
      <c r="H64" s="164" t="n"/>
      <c r="I64" s="164" t="n"/>
      <c r="J64" s="164" t="n"/>
    </row>
    <row r="65">
      <c r="A65" s="173" t="n"/>
      <c r="B65" s="164" t="n"/>
      <c r="C65" s="164" t="n"/>
      <c r="D65" s="164" t="n"/>
      <c r="E65" s="164" t="n"/>
      <c r="F65" s="164" t="n"/>
      <c r="G65" s="164" t="n"/>
      <c r="H65" s="164" t="n"/>
      <c r="I65" s="164" t="n"/>
      <c r="J65" s="164" t="n"/>
    </row>
    <row r="66">
      <c r="A66" s="173" t="n"/>
      <c r="B66" s="164" t="n"/>
      <c r="C66" s="164" t="n"/>
      <c r="D66" s="164" t="n"/>
      <c r="E66" s="164" t="n"/>
      <c r="F66" s="164" t="n"/>
      <c r="G66" s="164" t="n"/>
      <c r="H66" s="164" t="n"/>
      <c r="I66" s="164" t="n"/>
      <c r="J66" s="164" t="n"/>
    </row>
    <row r="67">
      <c r="A67" s="173" t="n"/>
      <c r="B67" s="164" t="n"/>
      <c r="C67" s="164" t="n"/>
      <c r="D67" s="164" t="n"/>
      <c r="E67" s="164" t="n"/>
      <c r="F67" s="164" t="n"/>
      <c r="G67" s="164" t="n"/>
      <c r="H67" s="164" t="n"/>
      <c r="I67" s="164" t="n"/>
      <c r="J67" s="164" t="n"/>
    </row>
    <row r="68">
      <c r="A68" s="173" t="n"/>
      <c r="B68" s="164" t="n"/>
      <c r="C68" s="164" t="n"/>
      <c r="D68" s="164" t="n"/>
      <c r="E68" s="164" t="n"/>
      <c r="F68" s="164" t="n"/>
      <c r="G68" s="164" t="n"/>
      <c r="H68" s="164" t="n"/>
      <c r="I68" s="164" t="n"/>
      <c r="J68" s="164" t="n"/>
    </row>
    <row r="69">
      <c r="A69" s="173" t="n"/>
      <c r="B69" s="164" t="n"/>
      <c r="C69" s="164" t="n"/>
      <c r="D69" s="164" t="n"/>
      <c r="E69" s="164" t="n"/>
      <c r="F69" s="164" t="n"/>
      <c r="G69" s="164" t="n"/>
      <c r="H69" s="164" t="n"/>
      <c r="I69" s="164" t="n"/>
      <c r="J69" s="164" t="n"/>
    </row>
    <row r="70">
      <c r="A70" s="173" t="n"/>
      <c r="B70" s="164" t="n"/>
      <c r="C70" s="164" t="n"/>
      <c r="D70" s="164" t="n"/>
      <c r="E70" s="164" t="n"/>
      <c r="F70" s="164" t="n"/>
      <c r="G70" s="164" t="n"/>
      <c r="H70" s="164" t="n"/>
      <c r="I70" s="164" t="n"/>
      <c r="J70" s="164" t="n"/>
    </row>
    <row r="71">
      <c r="A71" s="173" t="n"/>
      <c r="B71" s="164" t="n"/>
      <c r="C71" s="164" t="n"/>
      <c r="D71" s="164" t="n"/>
      <c r="E71" s="164" t="n"/>
      <c r="F71" s="164" t="n"/>
      <c r="G71" s="164" t="n"/>
      <c r="H71" s="164" t="n"/>
      <c r="I71" s="164" t="n"/>
      <c r="J71" s="164" t="n"/>
    </row>
    <row r="72">
      <c r="A72" s="173" t="n"/>
      <c r="B72" s="164" t="n"/>
      <c r="C72" s="164" t="n"/>
      <c r="D72" s="164" t="n"/>
      <c r="E72" s="164" t="n"/>
      <c r="F72" s="164" t="n"/>
      <c r="G72" s="164" t="n"/>
      <c r="H72" s="164" t="n"/>
      <c r="I72" s="164" t="n"/>
      <c r="J72" s="164" t="n"/>
    </row>
    <row r="73">
      <c r="A73" s="173" t="n"/>
      <c r="B73" s="164" t="n"/>
      <c r="C73" s="164" t="n"/>
      <c r="D73" s="164" t="n"/>
      <c r="E73" s="164" t="n"/>
      <c r="F73" s="164" t="n"/>
      <c r="G73" s="164" t="n"/>
      <c r="H73" s="164" t="n"/>
      <c r="I73" s="164" t="n"/>
      <c r="J73" s="164" t="n"/>
    </row>
    <row r="74">
      <c r="A74" s="173" t="n"/>
      <c r="B74" s="164" t="n"/>
      <c r="C74" s="164" t="n"/>
      <c r="D74" s="164" t="n"/>
      <c r="E74" s="164" t="n"/>
      <c r="F74" s="164" t="n"/>
      <c r="G74" s="164" t="n"/>
      <c r="H74" s="164" t="n"/>
      <c r="I74" s="164" t="n"/>
      <c r="J74" s="164" t="n"/>
    </row>
    <row r="75">
      <c r="A75" s="173" t="n"/>
      <c r="B75" s="164" t="n"/>
      <c r="C75" s="164" t="n"/>
      <c r="D75" s="164" t="n"/>
      <c r="E75" s="164" t="n"/>
      <c r="F75" s="164" t="n"/>
      <c r="G75" s="164" t="n"/>
      <c r="H75" s="164" t="n"/>
      <c r="I75" s="164" t="n"/>
      <c r="J75" s="164" t="n"/>
    </row>
    <row r="76">
      <c r="A76" s="173" t="n"/>
      <c r="B76" s="164" t="n"/>
      <c r="C76" s="164" t="n"/>
      <c r="D76" s="164" t="n"/>
      <c r="E76" s="164" t="n"/>
      <c r="F76" s="164" t="n"/>
      <c r="G76" s="164" t="n"/>
      <c r="H76" s="164" t="n"/>
      <c r="I76" s="164" t="n"/>
      <c r="J76" s="164" t="n"/>
    </row>
    <row r="77">
      <c r="A77" s="173" t="n"/>
      <c r="B77" s="164" t="n"/>
      <c r="C77" s="164" t="n"/>
      <c r="D77" s="164" t="n"/>
      <c r="E77" s="164" t="n"/>
      <c r="F77" s="164" t="n"/>
      <c r="G77" s="164" t="n"/>
      <c r="H77" s="164" t="n"/>
      <c r="I77" s="164" t="n"/>
      <c r="J77" s="164" t="n"/>
    </row>
    <row r="78">
      <c r="A78" s="173" t="n"/>
      <c r="B78" s="164" t="n"/>
      <c r="C78" s="164" t="n"/>
      <c r="D78" s="164" t="n"/>
      <c r="E78" s="164" t="n"/>
      <c r="F78" s="164" t="n"/>
      <c r="G78" s="164" t="n"/>
      <c r="H78" s="164" t="n"/>
      <c r="I78" s="164" t="n"/>
      <c r="J78" s="164" t="n"/>
    </row>
    <row r="79">
      <c r="A79" s="173" t="n"/>
      <c r="B79" s="164" t="n"/>
      <c r="C79" s="164" t="n"/>
      <c r="D79" s="164" t="n"/>
      <c r="E79" s="164" t="n"/>
      <c r="F79" s="164" t="n"/>
      <c r="G79" s="164" t="n"/>
      <c r="H79" s="164" t="n"/>
      <c r="I79" s="164" t="n"/>
      <c r="J79" s="164" t="n"/>
    </row>
    <row r="80">
      <c r="A80" s="173" t="n"/>
      <c r="B80" s="164" t="n"/>
      <c r="C80" s="164" t="n"/>
      <c r="D80" s="164" t="n"/>
      <c r="E80" s="164" t="n"/>
      <c r="F80" s="164" t="n"/>
      <c r="G80" s="164" t="n"/>
      <c r="H80" s="164" t="n"/>
      <c r="I80" s="164" t="n"/>
      <c r="J80" s="164" t="n"/>
    </row>
    <row r="81">
      <c r="A81" s="173" t="n"/>
      <c r="B81" s="164" t="n"/>
      <c r="C81" s="164" t="n"/>
      <c r="D81" s="164" t="n"/>
      <c r="E81" s="164" t="n"/>
      <c r="F81" s="164" t="n"/>
      <c r="G81" s="164" t="n"/>
      <c r="H81" s="164" t="n"/>
      <c r="I81" s="164" t="n"/>
      <c r="J81" s="164" t="n"/>
    </row>
    <row r="82">
      <c r="A82" s="173" t="n"/>
      <c r="B82" s="164" t="n"/>
      <c r="C82" s="164" t="n"/>
      <c r="D82" s="164" t="n"/>
      <c r="E82" s="164" t="n"/>
      <c r="F82" s="164" t="n"/>
      <c r="G82" s="164" t="n"/>
      <c r="H82" s="164" t="n"/>
      <c r="I82" s="164" t="n"/>
      <c r="J82" s="164" t="n"/>
    </row>
    <row r="83">
      <c r="A83" s="173" t="n"/>
      <c r="B83" s="164" t="n"/>
      <c r="C83" s="164" t="n"/>
      <c r="D83" s="164" t="n"/>
      <c r="E83" s="164" t="n"/>
      <c r="F83" s="164" t="n"/>
      <c r="G83" s="164" t="n"/>
      <c r="H83" s="164" t="n"/>
      <c r="I83" s="164" t="n"/>
      <c r="J83" s="164" t="n"/>
    </row>
    <row r="84">
      <c r="A84" s="173" t="n"/>
      <c r="B84" s="164" t="n"/>
      <c r="C84" s="164" t="n"/>
      <c r="D84" s="164" t="n"/>
      <c r="E84" s="164" t="n"/>
      <c r="F84" s="164" t="n"/>
      <c r="G84" s="164" t="n"/>
      <c r="H84" s="164" t="n"/>
      <c r="I84" s="164" t="n"/>
      <c r="J84" s="164" t="n"/>
    </row>
    <row r="85">
      <c r="A85" s="173" t="n"/>
      <c r="B85" s="164" t="n"/>
      <c r="C85" s="164" t="n"/>
      <c r="D85" s="164" t="n"/>
      <c r="E85" s="164" t="n"/>
      <c r="F85" s="164" t="n"/>
      <c r="G85" s="164" t="n"/>
      <c r="H85" s="164" t="n"/>
      <c r="I85" s="164" t="n"/>
      <c r="J85" s="164" t="n"/>
    </row>
    <row r="86">
      <c r="A86" s="173" t="n"/>
      <c r="B86" s="164" t="n"/>
      <c r="C86" s="164" t="n"/>
      <c r="D86" s="164" t="n"/>
      <c r="E86" s="164" t="n"/>
      <c r="F86" s="164" t="n"/>
      <c r="G86" s="164" t="n"/>
      <c r="H86" s="164" t="n"/>
      <c r="I86" s="164" t="n"/>
      <c r="J86" s="164" t="n"/>
    </row>
    <row r="87">
      <c r="A87" s="173" t="n"/>
      <c r="B87" s="164" t="n"/>
      <c r="C87" s="164" t="n"/>
      <c r="D87" s="164" t="n"/>
      <c r="E87" s="164" t="n"/>
      <c r="F87" s="164" t="n"/>
      <c r="G87" s="164" t="n"/>
      <c r="H87" s="164" t="n"/>
      <c r="I87" s="164" t="n"/>
      <c r="J87" s="164" t="n"/>
    </row>
    <row r="88">
      <c r="A88" s="173" t="n"/>
      <c r="B88" s="164" t="n"/>
      <c r="C88" s="164" t="n"/>
      <c r="D88" s="164" t="n"/>
      <c r="E88" s="164" t="n"/>
      <c r="F88" s="164" t="n"/>
      <c r="G88" s="164" t="n"/>
      <c r="H88" s="164" t="n"/>
      <c r="I88" s="164" t="n"/>
      <c r="J88" s="164" t="n"/>
    </row>
    <row r="89">
      <c r="A89" s="173" t="n"/>
      <c r="B89" s="164" t="n"/>
      <c r="C89" s="164" t="n"/>
      <c r="D89" s="164" t="n"/>
      <c r="E89" s="164" t="n"/>
      <c r="F89" s="164" t="n"/>
      <c r="G89" s="164" t="n"/>
      <c r="H89" s="164" t="n"/>
      <c r="I89" s="164" t="n"/>
      <c r="J89" s="164" t="n"/>
    </row>
    <row r="90">
      <c r="A90" s="173" t="n"/>
      <c r="B90" s="164" t="n"/>
      <c r="C90" s="164" t="n"/>
      <c r="D90" s="164" t="n"/>
      <c r="E90" s="164" t="n"/>
      <c r="F90" s="164" t="n"/>
      <c r="G90" s="164" t="n"/>
      <c r="H90" s="164" t="n"/>
      <c r="I90" s="164" t="n"/>
      <c r="J90" s="164" t="n"/>
    </row>
    <row r="91">
      <c r="A91" s="173" t="n"/>
      <c r="B91" s="164" t="n"/>
      <c r="C91" s="164" t="n"/>
      <c r="D91" s="164" t="n"/>
      <c r="E91" s="164" t="n"/>
      <c r="F91" s="164" t="n"/>
      <c r="G91" s="164" t="n"/>
      <c r="H91" s="164" t="n"/>
      <c r="I91" s="164" t="n"/>
      <c r="J91" s="164" t="n"/>
    </row>
    <row r="92">
      <c r="A92" s="173" t="n"/>
      <c r="B92" s="164" t="n"/>
      <c r="C92" s="164" t="n"/>
      <c r="D92" s="164" t="n"/>
      <c r="E92" s="164" t="n"/>
      <c r="F92" s="164" t="n"/>
      <c r="G92" s="164" t="n"/>
      <c r="H92" s="164" t="n"/>
      <c r="I92" s="164" t="n"/>
      <c r="J92" s="164" t="n"/>
    </row>
    <row r="93">
      <c r="A93" s="173" t="n"/>
      <c r="B93" s="164" t="n"/>
      <c r="C93" s="164" t="n"/>
      <c r="D93" s="164" t="n"/>
      <c r="E93" s="164" t="n"/>
      <c r="F93" s="164" t="n"/>
      <c r="G93" s="164" t="n"/>
      <c r="H93" s="164" t="n"/>
      <c r="I93" s="164" t="n"/>
      <c r="J93" s="164" t="n"/>
    </row>
    <row r="94">
      <c r="A94" s="173" t="n"/>
      <c r="B94" s="164" t="n"/>
      <c r="C94" s="164" t="n"/>
      <c r="D94" s="164" t="n"/>
      <c r="E94" s="164" t="n"/>
      <c r="F94" s="164" t="n"/>
      <c r="G94" s="164" t="n"/>
      <c r="H94" s="164" t="n"/>
      <c r="I94" s="164" t="n"/>
      <c r="J94" s="164" t="n"/>
    </row>
    <row r="95">
      <c r="A95" s="173" t="n"/>
      <c r="B95" s="164" t="n"/>
      <c r="C95" s="164" t="n"/>
      <c r="D95" s="164" t="n"/>
      <c r="E95" s="164" t="n"/>
      <c r="F95" s="164" t="n"/>
      <c r="G95" s="164" t="n"/>
      <c r="H95" s="164" t="n"/>
      <c r="I95" s="164" t="n"/>
      <c r="J95" s="164" t="n"/>
    </row>
    <row r="96">
      <c r="A96" s="173" t="n"/>
      <c r="B96" s="164" t="n"/>
      <c r="C96" s="164" t="n"/>
      <c r="D96" s="164" t="n"/>
      <c r="E96" s="164" t="n"/>
      <c r="F96" s="164" t="n"/>
      <c r="G96" s="164" t="n"/>
      <c r="H96" s="164" t="n"/>
      <c r="I96" s="164" t="n"/>
      <c r="J96" s="164" t="n"/>
    </row>
    <row r="97">
      <c r="A97" s="173" t="n"/>
      <c r="B97" s="164" t="n"/>
      <c r="C97" s="164" t="n"/>
      <c r="D97" s="164" t="n"/>
      <c r="E97" s="164" t="n"/>
      <c r="F97" s="164" t="n"/>
      <c r="G97" s="164" t="n"/>
      <c r="H97" s="164" t="n"/>
      <c r="I97" s="164" t="n"/>
      <c r="J97" s="164" t="n"/>
    </row>
    <row r="98">
      <c r="A98" s="173" t="n"/>
      <c r="B98" s="164" t="n"/>
      <c r="C98" s="164" t="n"/>
      <c r="D98" s="164" t="n"/>
      <c r="E98" s="164" t="n"/>
      <c r="F98" s="164" t="n"/>
      <c r="G98" s="164" t="n"/>
      <c r="H98" s="164" t="n"/>
      <c r="I98" s="164" t="n"/>
      <c r="J98" s="164" t="n"/>
    </row>
    <row r="99">
      <c r="A99" s="173" t="n"/>
      <c r="B99" s="164" t="n"/>
      <c r="C99" s="164" t="n"/>
      <c r="D99" s="164" t="n"/>
      <c r="E99" s="164" t="n"/>
      <c r="F99" s="164" t="n"/>
      <c r="G99" s="164" t="n"/>
      <c r="H99" s="164" t="n"/>
      <c r="I99" s="164" t="n"/>
      <c r="J99" s="164" t="n"/>
    </row>
    <row r="100">
      <c r="A100" s="173" t="n"/>
      <c r="B100" s="164" t="n"/>
      <c r="C100" s="164" t="n"/>
      <c r="D100" s="164" t="n"/>
      <c r="E100" s="164" t="n"/>
      <c r="F100" s="164" t="n"/>
      <c r="G100" s="164" t="n"/>
      <c r="H100" s="164" t="n"/>
      <c r="I100" s="164" t="n"/>
      <c r="J100" s="164" t="n"/>
    </row>
    <row r="101">
      <c r="A101" s="173" t="n"/>
      <c r="B101" s="164" t="n"/>
      <c r="C101" s="164" t="n"/>
      <c r="D101" s="164" t="n"/>
      <c r="E101" s="164" t="n"/>
      <c r="F101" s="164" t="n"/>
      <c r="G101" s="164" t="n"/>
      <c r="H101" s="164" t="n"/>
      <c r="I101" s="164" t="n"/>
      <c r="J101" s="164" t="n"/>
    </row>
    <row r="102">
      <c r="A102" s="173" t="n"/>
      <c r="B102" s="164" t="n"/>
      <c r="C102" s="164" t="n"/>
      <c r="D102" s="164" t="n"/>
      <c r="E102" s="164" t="n"/>
      <c r="F102" s="164" t="n"/>
      <c r="G102" s="164" t="n"/>
      <c r="H102" s="164" t="n"/>
      <c r="I102" s="164" t="n"/>
      <c r="J102" s="164" t="n"/>
    </row>
    <row r="103">
      <c r="A103" s="173" t="n"/>
      <c r="B103" s="164" t="n"/>
      <c r="C103" s="164" t="n"/>
      <c r="D103" s="164" t="n"/>
      <c r="E103" s="164" t="n"/>
      <c r="F103" s="164" t="n"/>
      <c r="G103" s="164" t="n"/>
      <c r="H103" s="164" t="n"/>
      <c r="I103" s="164" t="n"/>
      <c r="J103" s="164" t="n"/>
    </row>
    <row r="104">
      <c r="A104" s="173" t="n"/>
      <c r="B104" s="164" t="n"/>
      <c r="C104" s="164" t="n"/>
      <c r="D104" s="164" t="n"/>
      <c r="E104" s="164" t="n"/>
      <c r="F104" s="164" t="n"/>
      <c r="G104" s="164" t="n"/>
      <c r="H104" s="164" t="n"/>
      <c r="I104" s="164" t="n"/>
      <c r="J104" s="164" t="n"/>
    </row>
    <row r="105">
      <c r="A105" s="173" t="n"/>
      <c r="B105" s="164" t="n"/>
      <c r="C105" s="164" t="n"/>
      <c r="D105" s="164" t="n"/>
      <c r="E105" s="164" t="n"/>
      <c r="F105" s="164" t="n"/>
      <c r="G105" s="164" t="n"/>
      <c r="H105" s="164" t="n"/>
      <c r="I105" s="164" t="n"/>
      <c r="J105" s="164" t="n"/>
    </row>
    <row r="106">
      <c r="A106" s="173" t="n"/>
      <c r="B106" s="164" t="n"/>
      <c r="C106" s="164" t="n"/>
      <c r="D106" s="164" t="n"/>
      <c r="E106" s="164" t="n"/>
      <c r="F106" s="164" t="n"/>
      <c r="G106" s="164" t="n"/>
      <c r="H106" s="164" t="n"/>
      <c r="I106" s="164" t="n"/>
      <c r="J106" s="164" t="n"/>
    </row>
    <row r="107">
      <c r="A107" s="173" t="n"/>
      <c r="B107" s="164" t="n"/>
      <c r="C107" s="164" t="n"/>
      <c r="D107" s="164" t="n"/>
      <c r="E107" s="164" t="n"/>
      <c r="F107" s="164" t="n"/>
      <c r="G107" s="164" t="n"/>
      <c r="H107" s="164" t="n"/>
      <c r="I107" s="164" t="n"/>
      <c r="J107" s="164" t="n"/>
    </row>
    <row r="108">
      <c r="A108" s="173" t="n"/>
      <c r="B108" s="164" t="n"/>
      <c r="C108" s="164" t="n"/>
      <c r="D108" s="164" t="n"/>
      <c r="E108" s="164" t="n"/>
      <c r="F108" s="164" t="n"/>
      <c r="G108" s="164" t="n"/>
      <c r="H108" s="164" t="n"/>
      <c r="I108" s="164" t="n"/>
      <c r="J108" s="164" t="n"/>
    </row>
    <row r="109">
      <c r="A109" s="173" t="n"/>
      <c r="B109" s="164" t="n"/>
      <c r="C109" s="164" t="n"/>
      <c r="D109" s="164" t="n"/>
      <c r="E109" s="164" t="n"/>
      <c r="F109" s="164" t="n"/>
      <c r="G109" s="164" t="n"/>
      <c r="H109" s="164" t="n"/>
      <c r="I109" s="164" t="n"/>
      <c r="J109" s="164" t="n"/>
    </row>
    <row r="110">
      <c r="A110" s="173" t="n"/>
      <c r="B110" s="164" t="n"/>
      <c r="C110" s="164" t="n"/>
      <c r="D110" s="164" t="n"/>
      <c r="E110" s="164" t="n"/>
      <c r="F110" s="164" t="n"/>
      <c r="G110" s="164" t="n"/>
      <c r="H110" s="164" t="n"/>
      <c r="I110" s="164" t="n"/>
      <c r="J110" s="164" t="n"/>
    </row>
    <row r="111">
      <c r="A111" s="173" t="n"/>
      <c r="B111" s="164" t="n"/>
      <c r="C111" s="164" t="n"/>
      <c r="D111" s="164" t="n"/>
      <c r="E111" s="164" t="n"/>
      <c r="F111" s="164" t="n"/>
      <c r="G111" s="164" t="n"/>
      <c r="H111" s="164" t="n"/>
      <c r="I111" s="164" t="n"/>
      <c r="J111" s="164" t="n"/>
    </row>
    <row r="112">
      <c r="A112" s="173" t="n"/>
      <c r="B112" s="164" t="n"/>
      <c r="C112" s="164" t="n"/>
      <c r="D112" s="164" t="n"/>
      <c r="E112" s="164" t="n"/>
      <c r="F112" s="164" t="n"/>
      <c r="G112" s="164" t="n"/>
      <c r="H112" s="164" t="n"/>
      <c r="I112" s="164" t="n"/>
      <c r="J112" s="164" t="n"/>
    </row>
    <row r="113">
      <c r="A113" s="173" t="n"/>
      <c r="B113" s="164" t="n"/>
      <c r="C113" s="164" t="n"/>
      <c r="D113" s="164" t="n"/>
      <c r="E113" s="164" t="n"/>
      <c r="F113" s="164" t="n"/>
      <c r="G113" s="164" t="n"/>
      <c r="H113" s="164" t="n"/>
      <c r="I113" s="164" t="n"/>
      <c r="J113" s="164" t="n"/>
    </row>
    <row r="114">
      <c r="A114" s="173" t="n"/>
      <c r="B114" s="164" t="n"/>
      <c r="C114" s="164" t="n"/>
      <c r="D114" s="164" t="n"/>
      <c r="E114" s="164" t="n"/>
      <c r="F114" s="164" t="n"/>
      <c r="G114" s="164" t="n"/>
      <c r="H114" s="164" t="n"/>
      <c r="I114" s="164" t="n"/>
      <c r="J114" s="164" t="n"/>
    </row>
    <row r="115">
      <c r="A115" s="173" t="n"/>
      <c r="B115" s="164" t="n"/>
      <c r="C115" s="164" t="n"/>
      <c r="D115" s="164" t="n"/>
      <c r="E115" s="164" t="n"/>
      <c r="F115" s="164" t="n"/>
      <c r="G115" s="164" t="n"/>
      <c r="H115" s="164" t="n"/>
      <c r="I115" s="164" t="n"/>
      <c r="J115" s="164" t="n"/>
    </row>
    <row r="116">
      <c r="A116" s="173" t="n"/>
      <c r="B116" s="164" t="n"/>
      <c r="C116" s="164" t="n"/>
      <c r="D116" s="164" t="n"/>
      <c r="E116" s="164" t="n"/>
      <c r="F116" s="164" t="n"/>
      <c r="G116" s="164" t="n"/>
      <c r="H116" s="164" t="n"/>
      <c r="I116" s="164" t="n"/>
      <c r="J116" s="164" t="n"/>
    </row>
    <row r="117">
      <c r="A117" s="173" t="n"/>
      <c r="B117" s="164" t="n"/>
      <c r="C117" s="164" t="n"/>
      <c r="D117" s="164" t="n"/>
      <c r="E117" s="164" t="n"/>
      <c r="F117" s="164" t="n"/>
      <c r="G117" s="164" t="n"/>
      <c r="H117" s="164" t="n"/>
      <c r="I117" s="164" t="n"/>
      <c r="J117" s="164" t="n"/>
    </row>
    <row r="118">
      <c r="A118" s="173" t="n"/>
      <c r="B118" s="164" t="n"/>
      <c r="C118" s="164" t="n"/>
      <c r="D118" s="164" t="n"/>
      <c r="E118" s="164" t="n"/>
      <c r="F118" s="164" t="n"/>
      <c r="G118" s="164" t="n"/>
      <c r="H118" s="164" t="n"/>
      <c r="I118" s="164" t="n"/>
      <c r="J118" s="164" t="n"/>
    </row>
    <row r="119">
      <c r="A119" s="173" t="n"/>
      <c r="B119" s="164" t="n"/>
      <c r="C119" s="164" t="n"/>
      <c r="D119" s="164" t="n"/>
      <c r="E119" s="164" t="n"/>
      <c r="F119" s="164" t="n"/>
      <c r="G119" s="164" t="n"/>
      <c r="H119" s="164" t="n"/>
      <c r="I119" s="164" t="n"/>
      <c r="J119" s="164" t="n"/>
    </row>
    <row r="120">
      <c r="A120" s="173" t="n"/>
      <c r="B120" s="164" t="n"/>
      <c r="C120" s="164" t="n"/>
      <c r="D120" s="164" t="n"/>
      <c r="E120" s="164" t="n"/>
      <c r="F120" s="164" t="n"/>
      <c r="G120" s="164" t="n"/>
      <c r="H120" s="164" t="n"/>
      <c r="I120" s="164" t="n"/>
      <c r="J120" s="164" t="n"/>
    </row>
    <row r="121">
      <c r="A121" s="173" t="n"/>
      <c r="B121" s="164" t="n"/>
      <c r="C121" s="164" t="n"/>
      <c r="D121" s="164" t="n"/>
      <c r="E121" s="164" t="n"/>
      <c r="F121" s="164" t="n"/>
      <c r="G121" s="164" t="n"/>
      <c r="H121" s="164" t="n"/>
      <c r="I121" s="164" t="n"/>
      <c r="J121" s="164" t="n"/>
    </row>
    <row r="122">
      <c r="A122" s="173" t="n"/>
      <c r="B122" s="164" t="n"/>
      <c r="C122" s="164" t="n"/>
      <c r="D122" s="164" t="n"/>
      <c r="E122" s="164" t="n"/>
      <c r="F122" s="164" t="n"/>
      <c r="G122" s="164" t="n"/>
      <c r="H122" s="164" t="n"/>
      <c r="I122" s="164" t="n"/>
      <c r="J122" s="164" t="n"/>
    </row>
    <row r="123">
      <c r="A123" s="173" t="n"/>
      <c r="B123" s="164" t="n"/>
      <c r="C123" s="164" t="n"/>
      <c r="D123" s="164" t="n"/>
      <c r="E123" s="164" t="n"/>
      <c r="F123" s="164" t="n"/>
      <c r="G123" s="164" t="n"/>
      <c r="H123" s="164" t="n"/>
      <c r="I123" s="164" t="n"/>
      <c r="J123" s="164" t="n"/>
    </row>
    <row r="124">
      <c r="A124" s="173" t="n"/>
      <c r="B124" s="164" t="n"/>
      <c r="C124" s="164" t="n"/>
      <c r="D124" s="164" t="n"/>
      <c r="E124" s="164" t="n"/>
      <c r="F124" s="164" t="n"/>
      <c r="G124" s="164" t="n"/>
      <c r="H124" s="164" t="n"/>
      <c r="I124" s="164" t="n"/>
      <c r="J124" s="164" t="n"/>
    </row>
    <row r="125">
      <c r="A125" s="173" t="n"/>
      <c r="B125" s="164" t="n"/>
      <c r="C125" s="164" t="n"/>
      <c r="D125" s="164" t="n"/>
      <c r="E125" s="164" t="n"/>
      <c r="F125" s="164" t="n"/>
      <c r="G125" s="164" t="n"/>
      <c r="H125" s="164" t="n"/>
      <c r="I125" s="164" t="n"/>
      <c r="J125" s="164" t="n"/>
    </row>
    <row r="126">
      <c r="A126" s="173" t="n"/>
      <c r="B126" s="164" t="n"/>
      <c r="C126" s="164" t="n"/>
      <c r="D126" s="164" t="n"/>
      <c r="E126" s="164" t="n"/>
      <c r="F126" s="164" t="n"/>
      <c r="G126" s="164" t="n"/>
      <c r="H126" s="164" t="n"/>
      <c r="I126" s="164" t="n"/>
      <c r="J126" s="164" t="n"/>
    </row>
    <row r="127">
      <c r="A127" s="173" t="n"/>
      <c r="B127" s="164" t="n"/>
      <c r="C127" s="164" t="n"/>
      <c r="D127" s="164" t="n"/>
      <c r="E127" s="164" t="n"/>
      <c r="F127" s="164" t="n"/>
      <c r="G127" s="164" t="n"/>
      <c r="H127" s="164" t="n"/>
      <c r="I127" s="164" t="n"/>
      <c r="J127" s="164" t="n"/>
    </row>
    <row r="128">
      <c r="A128" s="173" t="n"/>
      <c r="B128" s="164" t="n"/>
      <c r="C128" s="164" t="n"/>
      <c r="D128" s="164" t="n"/>
      <c r="E128" s="164" t="n"/>
      <c r="F128" s="164" t="n"/>
      <c r="G128" s="164" t="n"/>
      <c r="H128" s="164" t="n"/>
      <c r="I128" s="164" t="n"/>
      <c r="J128" s="164" t="n"/>
    </row>
    <row r="129">
      <c r="A129" s="173" t="n"/>
      <c r="B129" s="164" t="n"/>
      <c r="C129" s="164" t="n"/>
      <c r="D129" s="164" t="n"/>
      <c r="E129" s="164" t="n"/>
      <c r="F129" s="164" t="n"/>
      <c r="G129" s="164" t="n"/>
      <c r="H129" s="164" t="n"/>
      <c r="I129" s="164" t="n"/>
      <c r="J129" s="164" t="n"/>
    </row>
    <row r="130">
      <c r="A130" s="173" t="n"/>
      <c r="B130" s="164" t="n"/>
      <c r="C130" s="164" t="n"/>
      <c r="D130" s="164" t="n"/>
      <c r="E130" s="164" t="n"/>
      <c r="F130" s="164" t="n"/>
      <c r="G130" s="164" t="n"/>
      <c r="H130" s="164" t="n"/>
      <c r="I130" s="164" t="n"/>
      <c r="J130" s="164" t="n"/>
    </row>
    <row r="131">
      <c r="A131" s="173" t="n"/>
      <c r="B131" s="164" t="n"/>
      <c r="C131" s="164" t="n"/>
      <c r="D131" s="164" t="n"/>
      <c r="E131" s="164" t="n"/>
      <c r="F131" s="164" t="n"/>
      <c r="G131" s="164" t="n"/>
      <c r="H131" s="164" t="n"/>
      <c r="I131" s="164" t="n"/>
      <c r="J131" s="164" t="n"/>
    </row>
    <row r="132">
      <c r="A132" s="173" t="n"/>
      <c r="B132" s="164" t="n"/>
      <c r="C132" s="164" t="n"/>
      <c r="D132" s="164" t="n"/>
      <c r="E132" s="164" t="n"/>
      <c r="F132" s="164" t="n"/>
      <c r="G132" s="164" t="n"/>
      <c r="H132" s="164" t="n"/>
      <c r="I132" s="164" t="n"/>
      <c r="J132" s="164" t="n"/>
    </row>
    <row r="133">
      <c r="A133" s="173" t="n"/>
      <c r="B133" s="164" t="n"/>
      <c r="C133" s="164" t="n"/>
      <c r="D133" s="164" t="n"/>
      <c r="E133" s="164" t="n"/>
      <c r="F133" s="164" t="n"/>
      <c r="G133" s="164" t="n"/>
      <c r="H133" s="164" t="n"/>
      <c r="I133" s="164" t="n"/>
      <c r="J133" s="164" t="n"/>
    </row>
    <row r="134">
      <c r="A134" s="173" t="n"/>
      <c r="B134" s="164" t="n"/>
      <c r="C134" s="164" t="n"/>
      <c r="D134" s="164" t="n"/>
      <c r="E134" s="164" t="n"/>
      <c r="F134" s="164" t="n"/>
      <c r="G134" s="164" t="n"/>
      <c r="H134" s="164" t="n"/>
      <c r="I134" s="164" t="n"/>
      <c r="J134" s="164" t="n"/>
    </row>
    <row r="135">
      <c r="A135" s="173" t="n"/>
      <c r="B135" s="164" t="n"/>
      <c r="C135" s="164" t="n"/>
      <c r="D135" s="164" t="n"/>
      <c r="E135" s="164" t="n"/>
      <c r="F135" s="164" t="n"/>
      <c r="G135" s="164" t="n"/>
      <c r="H135" s="164" t="n"/>
      <c r="I135" s="164" t="n"/>
      <c r="J135" s="164" t="n"/>
    </row>
    <row r="136">
      <c r="A136" s="173" t="n"/>
      <c r="B136" s="164" t="n"/>
      <c r="C136" s="164" t="n"/>
      <c r="D136" s="164" t="n"/>
      <c r="E136" s="164" t="n"/>
      <c r="F136" s="164" t="n"/>
      <c r="G136" s="164" t="n"/>
      <c r="H136" s="164" t="n"/>
      <c r="I136" s="164" t="n"/>
      <c r="J136" s="164" t="n"/>
    </row>
    <row r="137">
      <c r="A137" s="173" t="n"/>
      <c r="B137" s="164" t="n"/>
      <c r="C137" s="164" t="n"/>
      <c r="D137" s="164" t="n"/>
      <c r="E137" s="164" t="n"/>
      <c r="F137" s="164" t="n"/>
      <c r="G137" s="164" t="n"/>
      <c r="H137" s="164" t="n"/>
      <c r="I137" s="164" t="n"/>
      <c r="J137" s="164" t="n"/>
    </row>
    <row r="138">
      <c r="A138" s="173" t="n"/>
      <c r="B138" s="164" t="n"/>
      <c r="C138" s="164" t="n"/>
      <c r="D138" s="164" t="n"/>
      <c r="E138" s="164" t="n"/>
      <c r="F138" s="164" t="n"/>
      <c r="G138" s="164" t="n"/>
      <c r="H138" s="164" t="n"/>
      <c r="I138" s="164" t="n"/>
      <c r="J138" s="164" t="n"/>
    </row>
    <row r="139">
      <c r="A139" s="173" t="n"/>
      <c r="B139" s="164" t="n"/>
      <c r="C139" s="164" t="n"/>
      <c r="D139" s="164" t="n"/>
      <c r="E139" s="164" t="n"/>
      <c r="F139" s="164" t="n"/>
      <c r="G139" s="164" t="n"/>
      <c r="H139" s="164" t="n"/>
      <c r="I139" s="164" t="n"/>
      <c r="J139" s="164" t="n"/>
    </row>
    <row r="140">
      <c r="A140" s="173" t="n"/>
      <c r="B140" s="164" t="n"/>
      <c r="C140" s="164" t="n"/>
      <c r="D140" s="164" t="n"/>
      <c r="E140" s="164" t="n"/>
      <c r="F140" s="164" t="n"/>
      <c r="G140" s="164" t="n"/>
      <c r="H140" s="164" t="n"/>
      <c r="I140" s="164" t="n"/>
      <c r="J140" s="164" t="n"/>
    </row>
    <row r="141">
      <c r="A141" s="173" t="n"/>
      <c r="B141" s="164" t="n"/>
      <c r="C141" s="164" t="n"/>
      <c r="D141" s="164" t="n"/>
      <c r="E141" s="164" t="n"/>
      <c r="F141" s="164" t="n"/>
      <c r="G141" s="164" t="n"/>
      <c r="H141" s="164" t="n"/>
      <c r="I141" s="164" t="n"/>
      <c r="J141" s="164" t="n"/>
    </row>
    <row r="142">
      <c r="A142" s="173" t="n"/>
      <c r="B142" s="164" t="n"/>
      <c r="C142" s="164" t="n"/>
      <c r="D142" s="164" t="n"/>
      <c r="E142" s="164" t="n"/>
      <c r="F142" s="164" t="n"/>
      <c r="G142" s="164" t="n"/>
      <c r="H142" s="164" t="n"/>
      <c r="I142" s="164" t="n"/>
      <c r="J142" s="164" t="n"/>
    </row>
    <row r="143">
      <c r="A143" s="173" t="n"/>
      <c r="B143" s="164" t="n"/>
      <c r="C143" s="164" t="n"/>
      <c r="D143" s="164" t="n"/>
      <c r="E143" s="164" t="n"/>
      <c r="F143" s="164" t="n"/>
      <c r="G143" s="164" t="n"/>
      <c r="H143" s="164" t="n"/>
      <c r="I143" s="164" t="n"/>
      <c r="J143" s="164" t="n"/>
    </row>
    <row r="144">
      <c r="A144" s="173" t="n"/>
      <c r="B144" s="164" t="n"/>
      <c r="C144" s="164" t="n"/>
      <c r="D144" s="164" t="n"/>
      <c r="E144" s="164" t="n"/>
      <c r="F144" s="164" t="n"/>
      <c r="G144" s="164" t="n"/>
      <c r="H144" s="164" t="n"/>
      <c r="I144" s="164" t="n"/>
      <c r="J144" s="164" t="n"/>
    </row>
    <row r="145">
      <c r="A145" s="173" t="n"/>
      <c r="B145" s="164" t="n"/>
      <c r="C145" s="164" t="n"/>
      <c r="D145" s="164" t="n"/>
      <c r="E145" s="164" t="n"/>
      <c r="F145" s="164" t="n"/>
      <c r="G145" s="164" t="n"/>
      <c r="H145" s="164" t="n"/>
      <c r="I145" s="164" t="n"/>
      <c r="J145" s="164" t="n"/>
    </row>
    <row r="146">
      <c r="A146" s="173" t="n"/>
      <c r="B146" s="164" t="n"/>
      <c r="C146" s="164" t="n"/>
      <c r="D146" s="164" t="n"/>
      <c r="E146" s="164" t="n"/>
      <c r="F146" s="164" t="n"/>
      <c r="G146" s="164" t="n"/>
      <c r="H146" s="164" t="n"/>
      <c r="I146" s="164" t="n"/>
      <c r="J146" s="164" t="n"/>
    </row>
    <row r="147">
      <c r="A147" s="173" t="n"/>
      <c r="B147" s="164" t="n"/>
      <c r="C147" s="164" t="n"/>
      <c r="D147" s="164" t="n"/>
      <c r="E147" s="164" t="n"/>
      <c r="F147" s="164" t="n"/>
      <c r="G147" s="164" t="n"/>
      <c r="H147" s="164" t="n"/>
      <c r="I147" s="164" t="n"/>
      <c r="J147" s="164" t="n"/>
    </row>
    <row r="148">
      <c r="A148" s="173" t="n"/>
      <c r="B148" s="164" t="n"/>
      <c r="C148" s="164" t="n"/>
      <c r="D148" s="164" t="n"/>
      <c r="E148" s="164" t="n"/>
      <c r="F148" s="164" t="n"/>
      <c r="G148" s="164" t="n"/>
      <c r="H148" s="164" t="n"/>
      <c r="I148" s="164" t="n"/>
      <c r="J148" s="164" t="n"/>
    </row>
    <row r="149">
      <c r="A149" s="173" t="n"/>
      <c r="B149" s="164" t="n"/>
      <c r="C149" s="164" t="n"/>
      <c r="D149" s="164" t="n"/>
      <c r="E149" s="164" t="n"/>
      <c r="F149" s="164" t="n"/>
      <c r="G149" s="164" t="n"/>
      <c r="H149" s="164" t="n"/>
      <c r="I149" s="164" t="n"/>
      <c r="J149" s="164" t="n"/>
    </row>
    <row r="150">
      <c r="A150" s="173" t="n"/>
      <c r="B150" s="164" t="n"/>
      <c r="C150" s="164" t="n"/>
      <c r="D150" s="164" t="n"/>
      <c r="E150" s="164" t="n"/>
      <c r="F150" s="164" t="n"/>
      <c r="G150" s="164" t="n"/>
      <c r="H150" s="164" t="n"/>
      <c r="I150" s="164" t="n"/>
      <c r="J150" s="164" t="n"/>
    </row>
    <row r="151">
      <c r="A151" s="173" t="n"/>
      <c r="B151" s="164" t="n"/>
      <c r="C151" s="164" t="n"/>
      <c r="D151" s="164" t="n"/>
      <c r="E151" s="164" t="n"/>
      <c r="F151" s="164" t="n"/>
      <c r="G151" s="164" t="n"/>
      <c r="H151" s="164" t="n"/>
      <c r="I151" s="164" t="n"/>
      <c r="J151" s="164" t="n"/>
    </row>
    <row r="152">
      <c r="A152" s="173" t="n"/>
      <c r="B152" s="164" t="n"/>
      <c r="C152" s="164" t="n"/>
      <c r="D152" s="164" t="n"/>
      <c r="E152" s="164" t="n"/>
      <c r="F152" s="164" t="n"/>
      <c r="G152" s="164" t="n"/>
      <c r="H152" s="164" t="n"/>
      <c r="I152" s="164" t="n"/>
      <c r="J152" s="164" t="n"/>
    </row>
    <row r="153">
      <c r="A153" s="173" t="n"/>
      <c r="B153" s="164" t="n"/>
      <c r="C153" s="164" t="n"/>
      <c r="D153" s="164" t="n"/>
      <c r="E153" s="164" t="n"/>
      <c r="F153" s="164" t="n"/>
      <c r="G153" s="164" t="n"/>
      <c r="H153" s="164" t="n"/>
      <c r="I153" s="164" t="n"/>
      <c r="J153" s="164" t="n"/>
    </row>
    <row r="154">
      <c r="A154" s="173" t="n"/>
      <c r="B154" s="164" t="n"/>
      <c r="C154" s="164" t="n"/>
      <c r="D154" s="164" t="n"/>
      <c r="E154" s="164" t="n"/>
      <c r="F154" s="164" t="n"/>
      <c r="G154" s="164" t="n"/>
      <c r="H154" s="164" t="n"/>
      <c r="I154" s="164" t="n"/>
      <c r="J154" s="164" t="n"/>
    </row>
    <row r="155">
      <c r="A155" s="173" t="n"/>
      <c r="B155" s="164" t="n"/>
      <c r="C155" s="164" t="n"/>
      <c r="D155" s="164" t="n"/>
      <c r="E155" s="164" t="n"/>
      <c r="F155" s="164" t="n"/>
      <c r="G155" s="164" t="n"/>
      <c r="H155" s="164" t="n"/>
      <c r="I155" s="164" t="n"/>
      <c r="J155" s="164" t="n"/>
    </row>
    <row r="156">
      <c r="A156" s="173" t="n"/>
      <c r="B156" s="164" t="n"/>
      <c r="C156" s="164" t="n"/>
      <c r="D156" s="164" t="n"/>
      <c r="E156" s="164" t="n"/>
      <c r="F156" s="164" t="n"/>
      <c r="G156" s="164" t="n"/>
      <c r="H156" s="164" t="n"/>
      <c r="I156" s="164" t="n"/>
      <c r="J156" s="164" t="n"/>
    </row>
    <row r="157">
      <c r="A157" s="173" t="n"/>
      <c r="B157" s="164" t="n"/>
      <c r="C157" s="164" t="n"/>
      <c r="D157" s="164" t="n"/>
      <c r="E157" s="164" t="n"/>
      <c r="F157" s="164" t="n"/>
      <c r="G157" s="164" t="n"/>
      <c r="H157" s="164" t="n"/>
      <c r="I157" s="164" t="n"/>
      <c r="J157" s="164" t="n"/>
    </row>
    <row r="158">
      <c r="A158" s="173" t="n"/>
      <c r="B158" s="164" t="n"/>
      <c r="C158" s="164" t="n"/>
      <c r="D158" s="164" t="n"/>
      <c r="E158" s="164" t="n"/>
      <c r="F158" s="164" t="n"/>
      <c r="G158" s="164" t="n"/>
      <c r="H158" s="164" t="n"/>
      <c r="I158" s="164" t="n"/>
      <c r="J158" s="164" t="n"/>
    </row>
    <row r="159">
      <c r="A159" s="173" t="n"/>
      <c r="B159" s="164" t="n"/>
      <c r="C159" s="164" t="n"/>
      <c r="D159" s="164" t="n"/>
      <c r="E159" s="164" t="n"/>
      <c r="F159" s="164" t="n"/>
      <c r="G159" s="164" t="n"/>
      <c r="H159" s="164" t="n"/>
      <c r="I159" s="164" t="n"/>
      <c r="J159" s="164" t="n"/>
    </row>
    <row r="160">
      <c r="A160" s="173" t="n"/>
      <c r="B160" s="164" t="n"/>
      <c r="C160" s="164" t="n"/>
      <c r="D160" s="164" t="n"/>
      <c r="E160" s="164" t="n"/>
      <c r="F160" s="164" t="n"/>
      <c r="G160" s="164" t="n"/>
      <c r="H160" s="164" t="n"/>
      <c r="I160" s="164" t="n"/>
      <c r="J160" s="164" t="n"/>
    </row>
    <row r="161">
      <c r="A161" s="173" t="n"/>
      <c r="B161" s="164" t="n"/>
      <c r="C161" s="164" t="n"/>
      <c r="D161" s="164" t="n"/>
      <c r="E161" s="164" t="n"/>
      <c r="F161" s="164" t="n"/>
      <c r="G161" s="164" t="n"/>
      <c r="H161" s="164" t="n"/>
      <c r="I161" s="164" t="n"/>
      <c r="J161" s="164" t="n"/>
    </row>
    <row r="162">
      <c r="A162" s="173" t="n"/>
      <c r="B162" s="164" t="n"/>
      <c r="C162" s="164" t="n"/>
      <c r="D162" s="164" t="n"/>
      <c r="E162" s="164" t="n"/>
      <c r="F162" s="164" t="n"/>
      <c r="G162" s="164" t="n"/>
      <c r="H162" s="164" t="n"/>
      <c r="I162" s="164" t="n"/>
      <c r="J162" s="164" t="n"/>
    </row>
    <row r="163">
      <c r="A163" s="173" t="n"/>
      <c r="B163" s="164" t="n"/>
      <c r="C163" s="164" t="n"/>
      <c r="D163" s="164" t="n"/>
      <c r="E163" s="164" t="n"/>
      <c r="F163" s="164" t="n"/>
      <c r="G163" s="164" t="n"/>
      <c r="H163" s="164" t="n"/>
      <c r="I163" s="164" t="n"/>
      <c r="J163" s="164" t="n"/>
    </row>
    <row r="164">
      <c r="A164" s="173" t="n"/>
      <c r="B164" s="164" t="n"/>
      <c r="C164" s="164" t="n"/>
      <c r="D164" s="164" t="n"/>
      <c r="E164" s="164" t="n"/>
      <c r="F164" s="164" t="n"/>
      <c r="G164" s="164" t="n"/>
      <c r="H164" s="164" t="n"/>
      <c r="I164" s="164" t="n"/>
      <c r="J164" s="164" t="n"/>
    </row>
    <row r="165">
      <c r="A165" s="173" t="n"/>
      <c r="B165" s="164" t="n"/>
      <c r="C165" s="164" t="n"/>
      <c r="D165" s="164" t="n"/>
      <c r="E165" s="164" t="n"/>
      <c r="F165" s="164" t="n"/>
      <c r="G165" s="164" t="n"/>
      <c r="H165" s="164" t="n"/>
      <c r="I165" s="164" t="n"/>
      <c r="J165" s="164" t="n"/>
    </row>
    <row r="166">
      <c r="A166" s="173" t="n"/>
      <c r="B166" s="164" t="n"/>
      <c r="C166" s="164" t="n"/>
      <c r="D166" s="164" t="n"/>
      <c r="E166" s="164" t="n"/>
      <c r="F166" s="164" t="n"/>
      <c r="G166" s="164" t="n"/>
      <c r="H166" s="164" t="n"/>
      <c r="I166" s="164" t="n"/>
      <c r="J166" s="164" t="n"/>
    </row>
    <row r="167">
      <c r="A167" s="173" t="n"/>
      <c r="B167" s="164" t="n"/>
      <c r="C167" s="164" t="n"/>
      <c r="D167" s="164" t="n"/>
      <c r="E167" s="164" t="n"/>
      <c r="F167" s="164" t="n"/>
      <c r="G167" s="164" t="n"/>
      <c r="H167" s="164" t="n"/>
      <c r="I167" s="164" t="n"/>
      <c r="J167" s="164" t="n"/>
    </row>
    <row r="168">
      <c r="A168" s="173" t="n"/>
      <c r="B168" s="164" t="n"/>
      <c r="C168" s="164" t="n"/>
      <c r="D168" s="164" t="n"/>
      <c r="E168" s="164" t="n"/>
      <c r="F168" s="164" t="n"/>
      <c r="G168" s="164" t="n"/>
      <c r="H168" s="164" t="n"/>
      <c r="I168" s="164" t="n"/>
      <c r="J168" s="164" t="n"/>
    </row>
    <row r="169">
      <c r="A169" s="173" t="n"/>
      <c r="B169" s="164" t="n"/>
      <c r="C169" s="164" t="n"/>
      <c r="D169" s="164" t="n"/>
      <c r="E169" s="164" t="n"/>
      <c r="F169" s="164" t="n"/>
      <c r="G169" s="164" t="n"/>
      <c r="H169" s="164" t="n"/>
      <c r="I169" s="164" t="n"/>
      <c r="J169" s="164" t="n"/>
    </row>
    <row r="170">
      <c r="A170" s="173" t="n"/>
      <c r="B170" s="164" t="n"/>
      <c r="C170" s="164" t="n"/>
      <c r="D170" s="164" t="n"/>
      <c r="E170" s="164" t="n"/>
      <c r="F170" s="164" t="n"/>
      <c r="G170" s="164" t="n"/>
      <c r="H170" s="164" t="n"/>
      <c r="I170" s="164" t="n"/>
      <c r="J170" s="164" t="n"/>
    </row>
    <row r="171">
      <c r="A171" s="173" t="n"/>
      <c r="B171" s="164" t="n"/>
      <c r="C171" s="164" t="n"/>
      <c r="D171" s="164" t="n"/>
      <c r="E171" s="164" t="n"/>
      <c r="F171" s="164" t="n"/>
      <c r="G171" s="164" t="n"/>
      <c r="H171" s="164" t="n"/>
      <c r="I171" s="164" t="n"/>
      <c r="J171" s="164" t="n"/>
    </row>
    <row r="172">
      <c r="A172" s="173" t="n"/>
      <c r="B172" s="164" t="n"/>
      <c r="C172" s="164" t="n"/>
      <c r="D172" s="164" t="n"/>
      <c r="E172" s="164" t="n"/>
      <c r="F172" s="164" t="n"/>
      <c r="G172" s="164" t="n"/>
      <c r="H172" s="164" t="n"/>
      <c r="I172" s="164" t="n"/>
      <c r="J172" s="164" t="n"/>
    </row>
    <row r="173">
      <c r="A173" s="173" t="n"/>
      <c r="B173" s="164" t="n"/>
      <c r="C173" s="164" t="n"/>
      <c r="D173" s="164" t="n"/>
      <c r="E173" s="164" t="n"/>
      <c r="F173" s="164" t="n"/>
      <c r="G173" s="164" t="n"/>
      <c r="H173" s="164" t="n"/>
      <c r="I173" s="164" t="n"/>
      <c r="J173" s="164" t="n"/>
    </row>
    <row r="174">
      <c r="A174" s="173" t="n"/>
      <c r="B174" s="164" t="n"/>
      <c r="C174" s="164" t="n"/>
      <c r="D174" s="164" t="n"/>
      <c r="E174" s="164" t="n"/>
      <c r="F174" s="164" t="n"/>
      <c r="G174" s="164" t="n"/>
      <c r="H174" s="164" t="n"/>
      <c r="I174" s="164" t="n"/>
      <c r="J174" s="164" t="n"/>
    </row>
    <row r="175">
      <c r="A175" s="173" t="n"/>
      <c r="B175" s="164" t="n"/>
      <c r="C175" s="164" t="n"/>
      <c r="D175" s="164" t="n"/>
      <c r="E175" s="164" t="n"/>
      <c r="F175" s="164" t="n"/>
      <c r="G175" s="164" t="n"/>
      <c r="H175" s="164" t="n"/>
      <c r="I175" s="164" t="n"/>
      <c r="J175" s="164" t="n"/>
    </row>
    <row r="176">
      <c r="A176" s="173" t="n"/>
      <c r="B176" s="164" t="n"/>
      <c r="C176" s="164" t="n"/>
      <c r="D176" s="164" t="n"/>
      <c r="E176" s="164" t="n"/>
      <c r="F176" s="164" t="n"/>
      <c r="G176" s="164" t="n"/>
      <c r="H176" s="164" t="n"/>
      <c r="I176" s="164" t="n"/>
      <c r="J176" s="164" t="n"/>
    </row>
    <row r="177">
      <c r="A177" s="173" t="n"/>
      <c r="B177" s="164" t="n"/>
      <c r="C177" s="164" t="n"/>
      <c r="D177" s="164" t="n"/>
      <c r="E177" s="164" t="n"/>
      <c r="F177" s="164" t="n"/>
      <c r="G177" s="164" t="n"/>
      <c r="H177" s="164" t="n"/>
      <c r="I177" s="164" t="n"/>
      <c r="J177" s="164" t="n"/>
    </row>
    <row r="178">
      <c r="A178" s="173" t="n"/>
      <c r="B178" s="164" t="n"/>
      <c r="C178" s="164" t="n"/>
      <c r="D178" s="164" t="n"/>
      <c r="E178" s="164" t="n"/>
      <c r="F178" s="164" t="n"/>
      <c r="G178" s="164" t="n"/>
      <c r="H178" s="164" t="n"/>
      <c r="I178" s="164" t="n"/>
      <c r="J178" s="164" t="n"/>
    </row>
    <row r="179">
      <c r="A179" s="173" t="n"/>
      <c r="B179" s="164" t="n"/>
      <c r="C179" s="164" t="n"/>
      <c r="D179" s="164" t="n"/>
      <c r="E179" s="164" t="n"/>
      <c r="F179" s="164" t="n"/>
      <c r="G179" s="164" t="n"/>
      <c r="H179" s="164" t="n"/>
      <c r="I179" s="164" t="n"/>
      <c r="J179" s="164" t="n"/>
    </row>
    <row r="180">
      <c r="A180" s="173" t="n"/>
      <c r="B180" s="164" t="n"/>
      <c r="C180" s="164" t="n"/>
      <c r="D180" s="164" t="n"/>
      <c r="E180" s="164" t="n"/>
      <c r="F180" s="164" t="n"/>
      <c r="G180" s="164" t="n"/>
      <c r="H180" s="164" t="n"/>
      <c r="I180" s="164" t="n"/>
      <c r="J180" s="164" t="n"/>
    </row>
    <row r="181">
      <c r="A181" s="173" t="n"/>
      <c r="B181" s="164" t="n"/>
      <c r="C181" s="164" t="n"/>
      <c r="D181" s="164" t="n"/>
      <c r="E181" s="164" t="n"/>
      <c r="F181" s="164" t="n"/>
      <c r="G181" s="164" t="n"/>
      <c r="H181" s="164" t="n"/>
      <c r="I181" s="164" t="n"/>
      <c r="J181" s="164" t="n"/>
    </row>
    <row r="182">
      <c r="A182" s="173" t="n"/>
      <c r="B182" s="164" t="n"/>
      <c r="C182" s="164" t="n"/>
      <c r="D182" s="164" t="n"/>
      <c r="E182" s="164" t="n"/>
      <c r="F182" s="164" t="n"/>
      <c r="G182" s="164" t="n"/>
      <c r="H182" s="164" t="n"/>
      <c r="I182" s="164" t="n"/>
      <c r="J182" s="164" t="n"/>
    </row>
    <row r="183">
      <c r="A183" s="173" t="n"/>
      <c r="B183" s="164" t="n"/>
      <c r="C183" s="164" t="n"/>
      <c r="D183" s="164" t="n"/>
      <c r="E183" s="164" t="n"/>
      <c r="F183" s="164" t="n"/>
      <c r="G183" s="164" t="n"/>
      <c r="H183" s="164" t="n"/>
      <c r="I183" s="164" t="n"/>
      <c r="J183" s="164" t="n"/>
    </row>
    <row r="184">
      <c r="A184" s="173" t="n"/>
      <c r="B184" s="164" t="n"/>
      <c r="C184" s="164" t="n"/>
      <c r="D184" s="164" t="n"/>
      <c r="E184" s="164" t="n"/>
      <c r="F184" s="164" t="n"/>
      <c r="G184" s="164" t="n"/>
      <c r="H184" s="164" t="n"/>
      <c r="I184" s="164" t="n"/>
      <c r="J184" s="164" t="n"/>
    </row>
    <row r="185">
      <c r="A185" s="173" t="n"/>
      <c r="B185" s="164" t="n"/>
      <c r="C185" s="164" t="n"/>
      <c r="D185" s="164" t="n"/>
      <c r="E185" s="164" t="n"/>
      <c r="F185" s="164" t="n"/>
      <c r="G185" s="164" t="n"/>
      <c r="H185" s="164" t="n"/>
      <c r="I185" s="164" t="n"/>
      <c r="J185" s="164" t="n"/>
    </row>
    <row r="186">
      <c r="A186" s="173" t="n"/>
      <c r="B186" s="164" t="n"/>
      <c r="C186" s="164" t="n"/>
      <c r="D186" s="164" t="n"/>
      <c r="E186" s="164" t="n"/>
      <c r="F186" s="164" t="n"/>
      <c r="G186" s="164" t="n"/>
      <c r="H186" s="164" t="n"/>
      <c r="I186" s="164" t="n"/>
      <c r="J186" s="164" t="n"/>
    </row>
    <row r="187">
      <c r="A187" s="173" t="n"/>
      <c r="B187" s="164" t="n"/>
      <c r="C187" s="164" t="n"/>
      <c r="D187" s="164" t="n"/>
      <c r="E187" s="164" t="n"/>
      <c r="F187" s="164" t="n"/>
      <c r="G187" s="164" t="n"/>
      <c r="H187" s="164" t="n"/>
      <c r="I187" s="164" t="n"/>
      <c r="J187" s="164" t="n"/>
    </row>
    <row r="188">
      <c r="A188" s="173" t="n"/>
      <c r="B188" s="164" t="n"/>
      <c r="C188" s="164" t="n"/>
      <c r="D188" s="164" t="n"/>
      <c r="E188" s="164" t="n"/>
      <c r="F188" s="164" t="n"/>
      <c r="G188" s="164" t="n"/>
      <c r="H188" s="164" t="n"/>
      <c r="I188" s="164" t="n"/>
      <c r="J188" s="164" t="n"/>
    </row>
    <row r="189">
      <c r="A189" s="173" t="n"/>
      <c r="B189" s="164" t="n"/>
      <c r="C189" s="164" t="n"/>
      <c r="D189" s="164" t="n"/>
      <c r="E189" s="164" t="n"/>
      <c r="F189" s="164" t="n"/>
      <c r="G189" s="164" t="n"/>
      <c r="H189" s="164" t="n"/>
      <c r="I189" s="164" t="n"/>
      <c r="J189" s="164" t="n"/>
    </row>
    <row r="190">
      <c r="A190" s="173" t="n"/>
      <c r="B190" s="164" t="n"/>
      <c r="C190" s="164" t="n"/>
      <c r="D190" s="164" t="n"/>
      <c r="E190" s="164" t="n"/>
      <c r="F190" s="164" t="n"/>
      <c r="G190" s="164" t="n"/>
      <c r="H190" s="164" t="n"/>
      <c r="I190" s="164" t="n"/>
      <c r="J190" s="164" t="n"/>
    </row>
    <row r="191">
      <c r="A191" s="173" t="n"/>
      <c r="B191" s="164" t="n"/>
      <c r="C191" s="164" t="n"/>
      <c r="D191" s="164" t="n"/>
      <c r="E191" s="164" t="n"/>
      <c r="F191" s="164" t="n"/>
      <c r="G191" s="164" t="n"/>
      <c r="H191" s="164" t="n"/>
      <c r="I191" s="164" t="n"/>
      <c r="J191" s="164" t="n"/>
    </row>
    <row r="192">
      <c r="A192" s="173" t="n"/>
      <c r="B192" s="164" t="n"/>
      <c r="C192" s="164" t="n"/>
      <c r="D192" s="164" t="n"/>
      <c r="E192" s="164" t="n"/>
      <c r="F192" s="164" t="n"/>
      <c r="G192" s="164" t="n"/>
      <c r="H192" s="164" t="n"/>
      <c r="I192" s="164" t="n"/>
      <c r="J192" s="164" t="n"/>
    </row>
    <row r="193">
      <c r="A193" s="173" t="n"/>
      <c r="B193" s="164" t="n"/>
      <c r="C193" s="164" t="n"/>
      <c r="D193" s="164" t="n"/>
      <c r="E193" s="164" t="n"/>
      <c r="F193" s="164" t="n"/>
      <c r="G193" s="164" t="n"/>
      <c r="H193" s="164" t="n"/>
      <c r="I193" s="164" t="n"/>
      <c r="J193" s="164" t="n"/>
    </row>
    <row r="194">
      <c r="A194" s="173" t="n"/>
      <c r="B194" s="164" t="n"/>
      <c r="C194" s="164" t="n"/>
      <c r="D194" s="164" t="n"/>
      <c r="E194" s="164" t="n"/>
      <c r="F194" s="164" t="n"/>
      <c r="G194" s="164" t="n"/>
      <c r="H194" s="164" t="n"/>
      <c r="I194" s="164" t="n"/>
      <c r="J194" s="164" t="n"/>
    </row>
    <row r="195">
      <c r="A195" s="173" t="n"/>
      <c r="B195" s="164" t="n"/>
      <c r="C195" s="164" t="n"/>
      <c r="D195" s="164" t="n"/>
      <c r="E195" s="164" t="n"/>
      <c r="F195" s="164" t="n"/>
      <c r="G195" s="164" t="n"/>
      <c r="H195" s="164" t="n"/>
      <c r="I195" s="164" t="n"/>
      <c r="J195" s="164" t="n"/>
    </row>
    <row r="196">
      <c r="A196" s="173" t="n"/>
      <c r="B196" s="164" t="n"/>
      <c r="C196" s="164" t="n"/>
      <c r="D196" s="164" t="n"/>
      <c r="E196" s="164" t="n"/>
      <c r="F196" s="164" t="n"/>
      <c r="G196" s="164" t="n"/>
      <c r="H196" s="164" t="n"/>
      <c r="I196" s="164" t="n"/>
      <c r="J196" s="164" t="n"/>
    </row>
    <row r="197">
      <c r="A197" s="173" t="n"/>
      <c r="B197" s="164" t="n"/>
      <c r="C197" s="164" t="n"/>
      <c r="D197" s="164" t="n"/>
      <c r="E197" s="164" t="n"/>
      <c r="F197" s="164" t="n"/>
      <c r="G197" s="164" t="n"/>
      <c r="H197" s="164" t="n"/>
      <c r="I197" s="164" t="n"/>
      <c r="J197" s="164" t="n"/>
    </row>
    <row r="198">
      <c r="A198" s="173" t="n"/>
      <c r="B198" s="164" t="n"/>
      <c r="C198" s="164" t="n"/>
      <c r="D198" s="164" t="n"/>
      <c r="E198" s="164" t="n"/>
      <c r="F198" s="164" t="n"/>
      <c r="G198" s="164" t="n"/>
      <c r="H198" s="164" t="n"/>
      <c r="I198" s="164" t="n"/>
      <c r="J198" s="164" t="n"/>
    </row>
    <row r="199">
      <c r="A199" s="173" t="n"/>
      <c r="B199" s="164" t="n"/>
      <c r="C199" s="164" t="n"/>
      <c r="D199" s="164" t="n"/>
      <c r="E199" s="164" t="n"/>
      <c r="F199" s="164" t="n"/>
      <c r="G199" s="164" t="n"/>
      <c r="H199" s="164" t="n"/>
      <c r="I199" s="164" t="n"/>
      <c r="J199" s="164" t="n"/>
    </row>
    <row r="200">
      <c r="A200" s="173" t="n"/>
      <c r="B200" s="164" t="n"/>
      <c r="C200" s="164" t="n"/>
      <c r="D200" s="164" t="n"/>
      <c r="E200" s="164" t="n"/>
      <c r="F200" s="164" t="n"/>
      <c r="G200" s="164" t="n"/>
      <c r="H200" s="164" t="n"/>
      <c r="I200" s="164" t="n"/>
      <c r="J200" s="164" t="n"/>
    </row>
    <row r="201">
      <c r="A201" s="173" t="n"/>
      <c r="B201" s="164" t="n"/>
      <c r="C201" s="164" t="n"/>
      <c r="D201" s="164" t="n"/>
      <c r="E201" s="164" t="n"/>
      <c r="F201" s="164" t="n"/>
      <c r="G201" s="164" t="n"/>
      <c r="H201" s="164" t="n"/>
      <c r="I201" s="164" t="n"/>
      <c r="J201" s="164" t="n"/>
    </row>
    <row r="202">
      <c r="A202" s="173" t="n"/>
      <c r="B202" s="164" t="n"/>
      <c r="C202" s="164" t="n"/>
      <c r="D202" s="164" t="n"/>
      <c r="E202" s="164" t="n"/>
      <c r="F202" s="164" t="n"/>
      <c r="G202" s="164" t="n"/>
      <c r="H202" s="164" t="n"/>
      <c r="I202" s="164" t="n"/>
      <c r="J202" s="164" t="n"/>
    </row>
    <row r="203">
      <c r="A203" s="173" t="n"/>
      <c r="B203" s="164" t="n"/>
      <c r="C203" s="164" t="n"/>
      <c r="D203" s="164" t="n"/>
      <c r="E203" s="164" t="n"/>
      <c r="F203" s="164" t="n"/>
      <c r="G203" s="164" t="n"/>
      <c r="H203" s="164" t="n"/>
      <c r="I203" s="164" t="n"/>
      <c r="J203" s="164" t="n"/>
    </row>
    <row r="204">
      <c r="A204" s="173" t="n"/>
      <c r="B204" s="164" t="n"/>
      <c r="C204" s="164" t="n"/>
      <c r="D204" s="164" t="n"/>
      <c r="E204" s="164" t="n"/>
      <c r="F204" s="164" t="n"/>
      <c r="G204" s="164" t="n"/>
      <c r="H204" s="164" t="n"/>
      <c r="I204" s="164" t="n"/>
      <c r="J204" s="164" t="n"/>
    </row>
    <row r="205">
      <c r="A205" s="173" t="n"/>
      <c r="B205" s="164" t="n"/>
      <c r="C205" s="164" t="n"/>
      <c r="D205" s="164" t="n"/>
      <c r="E205" s="164" t="n"/>
      <c r="F205" s="164" t="n"/>
      <c r="G205" s="164" t="n"/>
      <c r="H205" s="164" t="n"/>
      <c r="I205" s="164" t="n"/>
      <c r="J205" s="164" t="n"/>
    </row>
    <row r="206">
      <c r="A206" s="173" t="n"/>
      <c r="B206" s="164" t="n"/>
      <c r="C206" s="164" t="n"/>
      <c r="D206" s="164" t="n"/>
      <c r="E206" s="164" t="n"/>
      <c r="F206" s="164" t="n"/>
      <c r="G206" s="164" t="n"/>
      <c r="H206" s="164" t="n"/>
      <c r="I206" s="164" t="n"/>
      <c r="J206" s="164" t="n"/>
    </row>
    <row r="207">
      <c r="A207" s="173" t="n"/>
      <c r="B207" s="164" t="n"/>
      <c r="C207" s="164" t="n"/>
      <c r="D207" s="164" t="n"/>
      <c r="E207" s="164" t="n"/>
      <c r="F207" s="164" t="n"/>
      <c r="G207" s="164" t="n"/>
      <c r="H207" s="164" t="n"/>
      <c r="I207" s="164" t="n"/>
      <c r="J207" s="164" t="n"/>
    </row>
    <row r="208">
      <c r="A208" s="173" t="n"/>
      <c r="B208" s="164" t="n"/>
      <c r="C208" s="164" t="n"/>
      <c r="D208" s="164" t="n"/>
      <c r="E208" s="164" t="n"/>
      <c r="F208" s="164" t="n"/>
      <c r="G208" s="164" t="n"/>
      <c r="H208" s="164" t="n"/>
      <c r="I208" s="164" t="n"/>
      <c r="J208" s="164" t="n"/>
    </row>
    <row r="209">
      <c r="A209" s="173" t="n"/>
      <c r="B209" s="164" t="n"/>
      <c r="C209" s="164" t="n"/>
      <c r="D209" s="164" t="n"/>
      <c r="E209" s="164" t="n"/>
      <c r="F209" s="164" t="n"/>
      <c r="G209" s="164" t="n"/>
      <c r="H209" s="164" t="n"/>
      <c r="I209" s="164" t="n"/>
      <c r="J209" s="164" t="n"/>
    </row>
    <row r="210">
      <c r="A210" s="173" t="n"/>
      <c r="B210" s="164" t="n"/>
      <c r="C210" s="164" t="n"/>
      <c r="D210" s="164" t="n"/>
      <c r="E210" s="164" t="n"/>
      <c r="F210" s="164" t="n"/>
      <c r="G210" s="164" t="n"/>
      <c r="H210" s="164" t="n"/>
      <c r="I210" s="164" t="n"/>
      <c r="J210" s="164" t="n"/>
    </row>
    <row r="211">
      <c r="A211" s="173" t="n"/>
      <c r="B211" s="164" t="n"/>
      <c r="C211" s="164" t="n"/>
      <c r="D211" s="164" t="n"/>
      <c r="E211" s="164" t="n"/>
      <c r="F211" s="164" t="n"/>
      <c r="G211" s="164" t="n"/>
      <c r="H211" s="164" t="n"/>
      <c r="I211" s="164" t="n"/>
      <c r="J211" s="164" t="n"/>
    </row>
    <row r="212">
      <c r="A212" s="173" t="n"/>
      <c r="B212" s="164" t="n"/>
      <c r="C212" s="164" t="n"/>
      <c r="D212" s="164" t="n"/>
      <c r="E212" s="164" t="n"/>
      <c r="F212" s="164" t="n"/>
      <c r="G212" s="164" t="n"/>
      <c r="H212" s="164" t="n"/>
      <c r="I212" s="164" t="n"/>
      <c r="J212" s="164" t="n"/>
    </row>
    <row r="213">
      <c r="A213" s="173" t="n"/>
      <c r="B213" s="164" t="n"/>
      <c r="C213" s="164" t="n"/>
      <c r="D213" s="164" t="n"/>
      <c r="E213" s="164" t="n"/>
      <c r="F213" s="164" t="n"/>
      <c r="G213" s="164" t="n"/>
      <c r="H213" s="164" t="n"/>
      <c r="I213" s="164" t="n"/>
      <c r="J213" s="164" t="n"/>
    </row>
    <row r="214">
      <c r="A214" s="173" t="n"/>
      <c r="B214" s="164" t="n"/>
      <c r="C214" s="164" t="n"/>
      <c r="D214" s="164" t="n"/>
      <c r="E214" s="164" t="n"/>
      <c r="F214" s="164" t="n"/>
      <c r="G214" s="164" t="n"/>
      <c r="H214" s="164" t="n"/>
      <c r="I214" s="164" t="n"/>
      <c r="J214" s="164" t="n"/>
    </row>
    <row r="215">
      <c r="A215" s="173" t="n"/>
      <c r="B215" s="164" t="n"/>
      <c r="C215" s="164" t="n"/>
      <c r="D215" s="164" t="n"/>
      <c r="E215" s="164" t="n"/>
      <c r="F215" s="164" t="n"/>
      <c r="G215" s="164" t="n"/>
      <c r="H215" s="164" t="n"/>
      <c r="I215" s="164" t="n"/>
      <c r="J215" s="164" t="n"/>
    </row>
    <row r="216">
      <c r="A216" s="173" t="n"/>
      <c r="B216" s="164" t="n"/>
      <c r="C216" s="164" t="n"/>
      <c r="D216" s="164" t="n"/>
      <c r="E216" s="164" t="n"/>
      <c r="F216" s="164" t="n"/>
      <c r="G216" s="164" t="n"/>
      <c r="H216" s="164" t="n"/>
      <c r="I216" s="164" t="n"/>
      <c r="J216" s="164" t="n"/>
    </row>
    <row r="217">
      <c r="A217" s="173" t="n"/>
      <c r="B217" s="164" t="n"/>
      <c r="C217" s="164" t="n"/>
      <c r="D217" s="164" t="n"/>
      <c r="E217" s="164" t="n"/>
      <c r="F217" s="164" t="n"/>
      <c r="G217" s="164" t="n"/>
      <c r="H217" s="164" t="n"/>
      <c r="I217" s="164" t="n"/>
      <c r="J217" s="164" t="n"/>
    </row>
    <row r="218">
      <c r="A218" s="173" t="n"/>
      <c r="B218" s="164" t="n"/>
      <c r="C218" s="164" t="n"/>
      <c r="D218" s="164" t="n"/>
      <c r="E218" s="164" t="n"/>
      <c r="F218" s="164" t="n"/>
      <c r="G218" s="164" t="n"/>
      <c r="H218" s="164" t="n"/>
      <c r="I218" s="164" t="n"/>
      <c r="J218" s="164" t="n"/>
    </row>
    <row r="219">
      <c r="A219" s="173" t="n"/>
      <c r="B219" s="164" t="n"/>
      <c r="C219" s="164" t="n"/>
      <c r="D219" s="164" t="n"/>
      <c r="E219" s="164" t="n"/>
      <c r="F219" s="164" t="n"/>
      <c r="G219" s="164" t="n"/>
      <c r="H219" s="164" t="n"/>
      <c r="I219" s="164" t="n"/>
      <c r="J219" s="164" t="n"/>
    </row>
    <row r="220">
      <c r="A220" s="173" t="n"/>
      <c r="B220" s="164" t="n"/>
      <c r="C220" s="164" t="n"/>
      <c r="D220" s="164" t="n"/>
      <c r="E220" s="164" t="n"/>
      <c r="F220" s="164" t="n"/>
      <c r="G220" s="164" t="n"/>
      <c r="H220" s="164" t="n"/>
      <c r="I220" s="164" t="n"/>
      <c r="J220" s="164" t="n"/>
    </row>
    <row r="221">
      <c r="A221" s="173" t="n"/>
      <c r="B221" s="164" t="n"/>
      <c r="C221" s="164" t="n"/>
      <c r="D221" s="164" t="n"/>
      <c r="E221" s="164" t="n"/>
      <c r="F221" s="164" t="n"/>
      <c r="G221" s="164" t="n"/>
      <c r="H221" s="164" t="n"/>
      <c r="I221" s="164" t="n"/>
      <c r="J221" s="164" t="n"/>
    </row>
    <row r="222">
      <c r="A222" s="173" t="n"/>
      <c r="B222" s="164" t="n"/>
      <c r="C222" s="164" t="n"/>
      <c r="D222" s="164" t="n"/>
      <c r="E222" s="164" t="n"/>
      <c r="F222" s="164" t="n"/>
      <c r="G222" s="164" t="n"/>
      <c r="H222" s="164" t="n"/>
      <c r="I222" s="164" t="n"/>
      <c r="J222" s="164" t="n"/>
    </row>
    <row r="223">
      <c r="A223" s="173" t="n"/>
      <c r="B223" s="164" t="n"/>
      <c r="C223" s="164" t="n"/>
      <c r="D223" s="164" t="n"/>
      <c r="E223" s="164" t="n"/>
      <c r="F223" s="164" t="n"/>
      <c r="G223" s="164" t="n"/>
      <c r="H223" s="164" t="n"/>
      <c r="I223" s="164" t="n"/>
      <c r="J223" s="164" t="n"/>
    </row>
    <row r="224">
      <c r="A224" s="173" t="n"/>
      <c r="B224" s="164" t="n"/>
      <c r="C224" s="164" t="n"/>
      <c r="D224" s="164" t="n"/>
      <c r="E224" s="164" t="n"/>
      <c r="F224" s="164" t="n"/>
      <c r="G224" s="164" t="n"/>
      <c r="H224" s="164" t="n"/>
      <c r="I224" s="164" t="n"/>
      <c r="J224" s="164" t="n"/>
    </row>
    <row r="225">
      <c r="A225" s="173" t="n"/>
      <c r="B225" s="164" t="n"/>
      <c r="C225" s="164" t="n"/>
      <c r="D225" s="164" t="n"/>
      <c r="E225" s="164" t="n"/>
      <c r="F225" s="164" t="n"/>
      <c r="G225" s="164" t="n"/>
      <c r="H225" s="164" t="n"/>
      <c r="I225" s="164" t="n"/>
      <c r="J225" s="164" t="n"/>
    </row>
    <row r="226">
      <c r="A226" s="173" t="n"/>
      <c r="B226" s="164" t="n"/>
      <c r="C226" s="164" t="n"/>
      <c r="D226" s="164" t="n"/>
      <c r="E226" s="164" t="n"/>
      <c r="F226" s="164" t="n"/>
      <c r="G226" s="164" t="n"/>
      <c r="H226" s="164" t="n"/>
      <c r="I226" s="164" t="n"/>
      <c r="J226" s="164" t="n"/>
    </row>
    <row r="227">
      <c r="A227" s="173" t="n"/>
      <c r="B227" s="164" t="n"/>
      <c r="C227" s="164" t="n"/>
      <c r="D227" s="164" t="n"/>
      <c r="E227" s="164" t="n"/>
      <c r="F227" s="164" t="n"/>
      <c r="G227" s="164" t="n"/>
      <c r="H227" s="164" t="n"/>
      <c r="I227" s="164" t="n"/>
      <c r="J227" s="164" t="n"/>
    </row>
    <row r="228">
      <c r="A228" s="173" t="n"/>
      <c r="B228" s="164" t="n"/>
      <c r="C228" s="164" t="n"/>
      <c r="D228" s="164" t="n"/>
      <c r="E228" s="164" t="n"/>
      <c r="F228" s="164" t="n"/>
      <c r="G228" s="164" t="n"/>
      <c r="H228" s="164" t="n"/>
      <c r="I228" s="164" t="n"/>
      <c r="J228" s="164" t="n"/>
    </row>
    <row r="229">
      <c r="A229" s="173" t="n"/>
      <c r="B229" s="164" t="n"/>
      <c r="C229" s="164" t="n"/>
      <c r="D229" s="164" t="n"/>
      <c r="E229" s="164" t="n"/>
      <c r="F229" s="164" t="n"/>
      <c r="G229" s="164" t="n"/>
      <c r="H229" s="164" t="n"/>
      <c r="I229" s="164" t="n"/>
      <c r="J229" s="164" t="n"/>
    </row>
    <row r="230">
      <c r="A230" s="173" t="n"/>
      <c r="B230" s="164" t="n"/>
      <c r="C230" s="164" t="n"/>
      <c r="D230" s="164" t="n"/>
      <c r="E230" s="164" t="n"/>
      <c r="F230" s="164" t="n"/>
      <c r="G230" s="164" t="n"/>
      <c r="H230" s="164" t="n"/>
      <c r="I230" s="164" t="n"/>
      <c r="J230" s="164" t="n"/>
    </row>
    <row r="231">
      <c r="A231" s="173" t="n"/>
      <c r="B231" s="164" t="n"/>
      <c r="C231" s="164" t="n"/>
      <c r="D231" s="164" t="n"/>
      <c r="E231" s="164" t="n"/>
      <c r="F231" s="164" t="n"/>
      <c r="G231" s="164" t="n"/>
      <c r="H231" s="164" t="n"/>
      <c r="I231" s="164" t="n"/>
      <c r="J231" s="164" t="n"/>
    </row>
    <row r="232">
      <c r="A232" s="173" t="n"/>
      <c r="B232" s="164" t="n"/>
      <c r="C232" s="164" t="n"/>
      <c r="D232" s="164" t="n"/>
      <c r="E232" s="164" t="n"/>
      <c r="F232" s="164" t="n"/>
      <c r="G232" s="164" t="n"/>
      <c r="H232" s="164" t="n"/>
      <c r="I232" s="164" t="n"/>
      <c r="J232" s="164" t="n"/>
    </row>
    <row r="233">
      <c r="A233" s="173" t="n"/>
      <c r="B233" s="164" t="n"/>
      <c r="C233" s="164" t="n"/>
      <c r="D233" s="164" t="n"/>
      <c r="E233" s="164" t="n"/>
      <c r="F233" s="164" t="n"/>
      <c r="G233" s="164" t="n"/>
      <c r="H233" s="164" t="n"/>
      <c r="I233" s="164" t="n"/>
      <c r="J233" s="164" t="n"/>
    </row>
    <row r="234">
      <c r="A234" s="173" t="n"/>
      <c r="B234" s="164" t="n"/>
      <c r="C234" s="164" t="n"/>
      <c r="D234" s="164" t="n"/>
      <c r="E234" s="164" t="n"/>
      <c r="F234" s="164" t="n"/>
      <c r="G234" s="164" t="n"/>
      <c r="H234" s="164" t="n"/>
      <c r="I234" s="164" t="n"/>
      <c r="J234" s="164" t="n"/>
    </row>
    <row r="235">
      <c r="A235" s="173" t="n"/>
      <c r="B235" s="164" t="n"/>
      <c r="C235" s="164" t="n"/>
      <c r="D235" s="164" t="n"/>
      <c r="E235" s="164" t="n"/>
      <c r="F235" s="164" t="n"/>
      <c r="G235" s="164" t="n"/>
      <c r="H235" s="164" t="n"/>
      <c r="I235" s="164" t="n"/>
      <c r="J235" s="164" t="n"/>
    </row>
    <row r="236">
      <c r="A236" s="173" t="n"/>
      <c r="B236" s="164" t="n"/>
      <c r="C236" s="164" t="n"/>
      <c r="D236" s="164" t="n"/>
      <c r="E236" s="164" t="n"/>
      <c r="F236" s="164" t="n"/>
      <c r="G236" s="164" t="n"/>
      <c r="H236" s="164" t="n"/>
      <c r="I236" s="164" t="n"/>
      <c r="J236" s="164" t="n"/>
    </row>
    <row r="237">
      <c r="A237" s="173" t="n"/>
      <c r="B237" s="164" t="n"/>
      <c r="C237" s="164" t="n"/>
      <c r="D237" s="164" t="n"/>
      <c r="E237" s="164" t="n"/>
      <c r="F237" s="164" t="n"/>
      <c r="G237" s="164" t="n"/>
      <c r="H237" s="164" t="n"/>
      <c r="I237" s="164" t="n"/>
      <c r="J237" s="164" t="n"/>
    </row>
    <row r="238">
      <c r="A238" s="173" t="n"/>
      <c r="B238" s="164" t="n"/>
      <c r="C238" s="164" t="n"/>
      <c r="D238" s="164" t="n"/>
      <c r="E238" s="164" t="n"/>
      <c r="F238" s="164" t="n"/>
      <c r="G238" s="164" t="n"/>
      <c r="H238" s="164" t="n"/>
      <c r="I238" s="164" t="n"/>
      <c r="J238" s="164" t="n"/>
    </row>
    <row r="239">
      <c r="A239" s="173" t="n"/>
      <c r="B239" s="164" t="n"/>
      <c r="C239" s="164" t="n"/>
      <c r="D239" s="164" t="n"/>
      <c r="E239" s="164" t="n"/>
      <c r="F239" s="164" t="n"/>
      <c r="G239" s="164" t="n"/>
      <c r="H239" s="164" t="n"/>
      <c r="I239" s="164" t="n"/>
      <c r="J239" s="164" t="n"/>
    </row>
    <row r="240">
      <c r="A240" s="173" t="n"/>
      <c r="B240" s="164" t="n"/>
      <c r="C240" s="164" t="n"/>
      <c r="D240" s="164" t="n"/>
      <c r="E240" s="164" t="n"/>
      <c r="F240" s="164" t="n"/>
      <c r="G240" s="164" t="n"/>
      <c r="H240" s="164" t="n"/>
      <c r="I240" s="164" t="n"/>
      <c r="J240" s="164" t="n"/>
    </row>
    <row r="241">
      <c r="A241" s="173" t="n"/>
      <c r="B241" s="164" t="n"/>
      <c r="C241" s="164" t="n"/>
      <c r="D241" s="164" t="n"/>
      <c r="E241" s="164" t="n"/>
      <c r="F241" s="164" t="n"/>
      <c r="G241" s="164" t="n"/>
      <c r="H241" s="164" t="n"/>
      <c r="I241" s="164" t="n"/>
      <c r="J241" s="164" t="n"/>
    </row>
    <row r="242">
      <c r="A242" s="173" t="n"/>
      <c r="B242" s="164" t="n"/>
      <c r="C242" s="164" t="n"/>
      <c r="D242" s="164" t="n"/>
      <c r="E242" s="164" t="n"/>
      <c r="F242" s="164" t="n"/>
      <c r="G242" s="164" t="n"/>
      <c r="H242" s="164" t="n"/>
      <c r="I242" s="164" t="n"/>
      <c r="J242" s="164" t="n"/>
    </row>
    <row r="243">
      <c r="A243" s="173" t="n"/>
      <c r="B243" s="164" t="n"/>
      <c r="C243" s="164" t="n"/>
      <c r="D243" s="164" t="n"/>
      <c r="E243" s="164" t="n"/>
      <c r="F243" s="164" t="n"/>
      <c r="G243" s="164" t="n"/>
      <c r="H243" s="164" t="n"/>
      <c r="I243" s="164" t="n"/>
      <c r="J243" s="164" t="n"/>
    </row>
    <row r="244">
      <c r="A244" s="173" t="n"/>
      <c r="B244" s="164" t="n"/>
      <c r="C244" s="164" t="n"/>
      <c r="D244" s="164" t="n"/>
      <c r="E244" s="164" t="n"/>
      <c r="F244" s="164" t="n"/>
      <c r="G244" s="164" t="n"/>
      <c r="H244" s="164" t="n"/>
      <c r="I244" s="164" t="n"/>
      <c r="J244" s="164" t="n"/>
    </row>
    <row r="245">
      <c r="A245" s="173" t="n"/>
      <c r="B245" s="164" t="n"/>
      <c r="C245" s="164" t="n"/>
      <c r="D245" s="164" t="n"/>
      <c r="E245" s="164" t="n"/>
      <c r="F245" s="164" t="n"/>
      <c r="G245" s="164" t="n"/>
      <c r="H245" s="164" t="n"/>
      <c r="I245" s="164" t="n"/>
      <c r="J245" s="164" t="n"/>
    </row>
    <row r="246">
      <c r="A246" s="173" t="n"/>
      <c r="B246" s="164" t="n"/>
      <c r="C246" s="164" t="n"/>
      <c r="D246" s="164" t="n"/>
      <c r="E246" s="164" t="n"/>
      <c r="F246" s="164" t="n"/>
      <c r="G246" s="164" t="n"/>
      <c r="H246" s="164" t="n"/>
      <c r="I246" s="164" t="n"/>
      <c r="J246" s="164" t="n"/>
    </row>
    <row r="247">
      <c r="A247" s="173" t="n"/>
      <c r="B247" s="164" t="n"/>
      <c r="C247" s="164" t="n"/>
      <c r="D247" s="164" t="n"/>
      <c r="E247" s="164" t="n"/>
      <c r="F247" s="164" t="n"/>
      <c r="G247" s="164" t="n"/>
      <c r="H247" s="164" t="n"/>
      <c r="I247" s="164" t="n"/>
      <c r="J247" s="164" t="n"/>
    </row>
    <row r="248">
      <c r="A248" s="173" t="n"/>
      <c r="B248" s="164" t="n"/>
      <c r="C248" s="164" t="n"/>
      <c r="D248" s="164" t="n"/>
      <c r="E248" s="164" t="n"/>
      <c r="F248" s="164" t="n"/>
      <c r="G248" s="164" t="n"/>
      <c r="H248" s="164" t="n"/>
      <c r="I248" s="164" t="n"/>
      <c r="J248" s="164" t="n"/>
    </row>
    <row r="249">
      <c r="A249" s="173" t="n"/>
      <c r="B249" s="164" t="n"/>
      <c r="C249" s="164" t="n"/>
      <c r="D249" s="164" t="n"/>
      <c r="E249" s="164" t="n"/>
      <c r="F249" s="164" t="n"/>
      <c r="G249" s="164" t="n"/>
      <c r="H249" s="164" t="n"/>
      <c r="I249" s="164" t="n"/>
      <c r="J249" s="164" t="n"/>
    </row>
    <row r="250">
      <c r="A250" s="173" t="n"/>
      <c r="B250" s="164" t="n"/>
      <c r="C250" s="164" t="n"/>
      <c r="D250" s="164" t="n"/>
      <c r="E250" s="164" t="n"/>
      <c r="F250" s="164" t="n"/>
      <c r="G250" s="164" t="n"/>
      <c r="H250" s="164" t="n"/>
      <c r="I250" s="164" t="n"/>
      <c r="J250" s="164" t="n"/>
    </row>
    <row r="251">
      <c r="A251" s="173" t="n"/>
      <c r="B251" s="164" t="n"/>
      <c r="C251" s="164" t="n"/>
      <c r="D251" s="164" t="n"/>
      <c r="E251" s="164" t="n"/>
      <c r="F251" s="164" t="n"/>
      <c r="G251" s="164" t="n"/>
      <c r="H251" s="164" t="n"/>
      <c r="I251" s="164" t="n"/>
      <c r="J251" s="164" t="n"/>
    </row>
    <row r="252">
      <c r="A252" s="173" t="n"/>
      <c r="B252" s="164" t="n"/>
      <c r="C252" s="164" t="n"/>
      <c r="D252" s="164" t="n"/>
      <c r="E252" s="164" t="n"/>
      <c r="F252" s="164" t="n"/>
      <c r="G252" s="164" t="n"/>
      <c r="H252" s="164" t="n"/>
      <c r="I252" s="164" t="n"/>
      <c r="J252" s="164" t="n"/>
    </row>
    <row r="253">
      <c r="A253" s="173" t="n"/>
      <c r="B253" s="164" t="n"/>
      <c r="C253" s="164" t="n"/>
      <c r="D253" s="164" t="n"/>
      <c r="E253" s="164" t="n"/>
      <c r="F253" s="164" t="n"/>
      <c r="G253" s="164" t="n"/>
      <c r="H253" s="164" t="n"/>
      <c r="I253" s="164" t="n"/>
      <c r="J253" s="164" t="n"/>
    </row>
    <row r="254">
      <c r="A254" s="173" t="n"/>
      <c r="B254" s="164" t="n"/>
      <c r="C254" s="164" t="n"/>
      <c r="D254" s="164" t="n"/>
      <c r="E254" s="164" t="n"/>
      <c r="F254" s="164" t="n"/>
      <c r="G254" s="164" t="n"/>
      <c r="H254" s="164" t="n"/>
      <c r="I254" s="164" t="n"/>
      <c r="J254" s="164" t="n"/>
    </row>
    <row r="255">
      <c r="A255" s="173" t="n"/>
      <c r="B255" s="164" t="n"/>
      <c r="C255" s="164" t="n"/>
      <c r="D255" s="164" t="n"/>
      <c r="E255" s="164" t="n"/>
      <c r="F255" s="164" t="n"/>
      <c r="G255" s="164" t="n"/>
      <c r="H255" s="164" t="n"/>
      <c r="I255" s="164" t="n"/>
      <c r="J255" s="164" t="n"/>
    </row>
    <row r="256">
      <c r="A256" s="173" t="n"/>
      <c r="B256" s="164" t="n"/>
      <c r="C256" s="164" t="n"/>
      <c r="D256" s="164" t="n"/>
      <c r="E256" s="164" t="n"/>
      <c r="F256" s="164" t="n"/>
      <c r="G256" s="164" t="n"/>
      <c r="H256" s="164" t="n"/>
      <c r="I256" s="164" t="n"/>
      <c r="J256" s="164" t="n"/>
    </row>
    <row r="257">
      <c r="A257" s="173" t="n"/>
      <c r="B257" s="164" t="n"/>
      <c r="C257" s="164" t="n"/>
      <c r="D257" s="164" t="n"/>
      <c r="E257" s="164" t="n"/>
      <c r="F257" s="164" t="n"/>
      <c r="G257" s="164" t="n"/>
      <c r="H257" s="164" t="n"/>
      <c r="I257" s="164" t="n"/>
      <c r="J257" s="164" t="n"/>
    </row>
    <row r="258">
      <c r="A258" s="173" t="n"/>
      <c r="B258" s="164" t="n"/>
      <c r="C258" s="164" t="n"/>
      <c r="D258" s="164" t="n"/>
      <c r="E258" s="164" t="n"/>
      <c r="F258" s="164" t="n"/>
      <c r="G258" s="164" t="n"/>
      <c r="H258" s="164" t="n"/>
      <c r="I258" s="164" t="n"/>
      <c r="J258" s="164" t="n"/>
    </row>
    <row r="259">
      <c r="A259" s="173" t="n"/>
      <c r="B259" s="164" t="n"/>
      <c r="C259" s="164" t="n"/>
      <c r="D259" s="164" t="n"/>
      <c r="E259" s="164" t="n"/>
      <c r="F259" s="164" t="n"/>
      <c r="G259" s="164" t="n"/>
      <c r="H259" s="164" t="n"/>
      <c r="I259" s="164" t="n"/>
      <c r="J259" s="164" t="n"/>
    </row>
    <row r="260">
      <c r="A260" s="173" t="n"/>
      <c r="B260" s="164" t="n"/>
      <c r="C260" s="164" t="n"/>
      <c r="D260" s="164" t="n"/>
      <c r="E260" s="164" t="n"/>
      <c r="F260" s="164" t="n"/>
      <c r="G260" s="164" t="n"/>
      <c r="H260" s="164" t="n"/>
      <c r="I260" s="164" t="n"/>
      <c r="J260" s="164" t="n"/>
    </row>
    <row r="261">
      <c r="A261" s="173" t="n"/>
      <c r="B261" s="164" t="n"/>
      <c r="C261" s="164" t="n"/>
      <c r="D261" s="164" t="n"/>
      <c r="E261" s="164" t="n"/>
      <c r="F261" s="164" t="n"/>
      <c r="G261" s="164" t="n"/>
      <c r="H261" s="164" t="n"/>
      <c r="I261" s="164" t="n"/>
      <c r="J261" s="164" t="n"/>
    </row>
    <row r="262">
      <c r="A262" s="173" t="n"/>
      <c r="B262" s="164" t="n"/>
      <c r="C262" s="164" t="n"/>
      <c r="D262" s="164" t="n"/>
      <c r="E262" s="164" t="n"/>
      <c r="F262" s="164" t="n"/>
      <c r="G262" s="164" t="n"/>
      <c r="H262" s="164" t="n"/>
      <c r="I262" s="164" t="n"/>
      <c r="J262" s="164" t="n"/>
    </row>
    <row r="263">
      <c r="A263" s="173" t="n"/>
      <c r="B263" s="164" t="n"/>
      <c r="C263" s="164" t="n"/>
      <c r="D263" s="164" t="n"/>
      <c r="E263" s="164" t="n"/>
      <c r="F263" s="164" t="n"/>
      <c r="G263" s="164" t="n"/>
      <c r="H263" s="164" t="n"/>
      <c r="I263" s="164" t="n"/>
      <c r="J263" s="164" t="n"/>
    </row>
    <row r="264">
      <c r="A264" s="173" t="n"/>
      <c r="B264" s="164" t="n"/>
      <c r="C264" s="164" t="n"/>
      <c r="D264" s="164" t="n"/>
      <c r="E264" s="164" t="n"/>
      <c r="F264" s="164" t="n"/>
      <c r="G264" s="164" t="n"/>
      <c r="H264" s="164" t="n"/>
      <c r="I264" s="164" t="n"/>
      <c r="J264" s="164" t="n"/>
    </row>
    <row r="265">
      <c r="A265" s="173" t="n"/>
      <c r="B265" s="164" t="n"/>
      <c r="C265" s="164" t="n"/>
      <c r="D265" s="164" t="n"/>
      <c r="E265" s="164" t="n"/>
      <c r="F265" s="164" t="n"/>
      <c r="G265" s="164" t="n"/>
      <c r="H265" s="164" t="n"/>
      <c r="I265" s="164" t="n"/>
      <c r="J265" s="164" t="n"/>
    </row>
    <row r="266">
      <c r="A266" s="173" t="n"/>
      <c r="B266" s="164" t="n"/>
      <c r="C266" s="164" t="n"/>
      <c r="D266" s="164" t="n"/>
      <c r="E266" s="164" t="n"/>
      <c r="F266" s="164" t="n"/>
      <c r="G266" s="164" t="n"/>
      <c r="H266" s="164" t="n"/>
      <c r="I266" s="164" t="n"/>
      <c r="J266" s="164" t="n"/>
    </row>
    <row r="267">
      <c r="A267" s="173" t="n"/>
      <c r="B267" s="164" t="n"/>
      <c r="C267" s="164" t="n"/>
      <c r="D267" s="164" t="n"/>
      <c r="E267" s="164" t="n"/>
      <c r="F267" s="164" t="n"/>
      <c r="G267" s="164" t="n"/>
      <c r="H267" s="164" t="n"/>
      <c r="I267" s="164" t="n"/>
      <c r="J267" s="164" t="n"/>
    </row>
    <row r="268">
      <c r="A268" s="173" t="n"/>
      <c r="B268" s="164" t="n"/>
      <c r="C268" s="164" t="n"/>
      <c r="D268" s="164" t="n"/>
      <c r="E268" s="164" t="n"/>
      <c r="F268" s="164" t="n"/>
      <c r="G268" s="164" t="n"/>
      <c r="H268" s="164" t="n"/>
      <c r="I268" s="164" t="n"/>
      <c r="J268" s="164" t="n"/>
    </row>
    <row r="269">
      <c r="A269" s="173" t="n"/>
      <c r="B269" s="164" t="n"/>
      <c r="C269" s="164" t="n"/>
      <c r="D269" s="164" t="n"/>
      <c r="E269" s="164" t="n"/>
      <c r="F269" s="164" t="n"/>
      <c r="G269" s="164" t="n"/>
      <c r="H269" s="164" t="n"/>
      <c r="I269" s="164" t="n"/>
      <c r="J269" s="164" t="n"/>
    </row>
    <row r="270">
      <c r="A270" s="173" t="n"/>
      <c r="B270" s="164" t="n"/>
      <c r="C270" s="164" t="n"/>
      <c r="D270" s="164" t="n"/>
      <c r="E270" s="164" t="n"/>
      <c r="F270" s="164" t="n"/>
      <c r="G270" s="164" t="n"/>
      <c r="H270" s="164" t="n"/>
      <c r="I270" s="164" t="n"/>
      <c r="J270" s="164" t="n"/>
    </row>
    <row r="271">
      <c r="A271" s="173" t="n"/>
      <c r="B271" s="164" t="n"/>
      <c r="C271" s="164" t="n"/>
      <c r="D271" s="164" t="n"/>
      <c r="E271" s="164" t="n"/>
      <c r="F271" s="164" t="n"/>
      <c r="G271" s="164" t="n"/>
      <c r="H271" s="164" t="n"/>
      <c r="I271" s="164" t="n"/>
      <c r="J271" s="164" t="n"/>
    </row>
    <row r="272">
      <c r="A272" s="173" t="n"/>
      <c r="B272" s="164" t="n"/>
      <c r="C272" s="164" t="n"/>
      <c r="D272" s="164" t="n"/>
      <c r="E272" s="164" t="n"/>
      <c r="F272" s="164" t="n"/>
      <c r="G272" s="164" t="n"/>
      <c r="H272" s="164" t="n"/>
      <c r="I272" s="164" t="n"/>
      <c r="J272" s="164" t="n"/>
    </row>
    <row r="273">
      <c r="A273" s="173" t="n"/>
      <c r="B273" s="164" t="n"/>
      <c r="C273" s="164" t="n"/>
      <c r="D273" s="164" t="n"/>
      <c r="E273" s="164" t="n"/>
      <c r="F273" s="164" t="n"/>
      <c r="G273" s="164" t="n"/>
      <c r="H273" s="164" t="n"/>
      <c r="I273" s="164" t="n"/>
      <c r="J273" s="164" t="n"/>
    </row>
    <row r="274">
      <c r="A274" s="173" t="n"/>
      <c r="B274" s="164" t="n"/>
      <c r="C274" s="164" t="n"/>
      <c r="D274" s="164" t="n"/>
      <c r="E274" s="164" t="n"/>
      <c r="F274" s="164" t="n"/>
      <c r="G274" s="164" t="n"/>
      <c r="H274" s="164" t="n"/>
      <c r="I274" s="164" t="n"/>
      <c r="J274" s="164" t="n"/>
    </row>
    <row r="275">
      <c r="A275" s="173" t="n"/>
      <c r="B275" s="164" t="n"/>
      <c r="C275" s="164" t="n"/>
      <c r="D275" s="164" t="n"/>
      <c r="E275" s="164" t="n"/>
      <c r="F275" s="164" t="n"/>
      <c r="G275" s="164" t="n"/>
      <c r="H275" s="164" t="n"/>
      <c r="I275" s="164" t="n"/>
      <c r="J275" s="164" t="n"/>
    </row>
    <row r="276">
      <c r="A276" s="173" t="n"/>
      <c r="B276" s="164" t="n"/>
      <c r="C276" s="164" t="n"/>
      <c r="D276" s="164" t="n"/>
      <c r="E276" s="164" t="n"/>
      <c r="F276" s="164" t="n"/>
      <c r="G276" s="164" t="n"/>
      <c r="H276" s="164" t="n"/>
      <c r="I276" s="164" t="n"/>
      <c r="J276" s="164" t="n"/>
    </row>
    <row r="277">
      <c r="A277" s="173" t="n"/>
      <c r="B277" s="164" t="n"/>
      <c r="C277" s="164" t="n"/>
      <c r="D277" s="164" t="n"/>
      <c r="E277" s="164" t="n"/>
      <c r="F277" s="164" t="n"/>
      <c r="G277" s="164" t="n"/>
      <c r="H277" s="164" t="n"/>
      <c r="I277" s="164" t="n"/>
      <c r="J277" s="164" t="n"/>
    </row>
    <row r="278">
      <c r="A278" s="173" t="n"/>
      <c r="B278" s="164" t="n"/>
      <c r="C278" s="164" t="n"/>
      <c r="D278" s="164" t="n"/>
      <c r="E278" s="164" t="n"/>
      <c r="F278" s="164" t="n"/>
      <c r="G278" s="164" t="n"/>
      <c r="H278" s="164" t="n"/>
      <c r="I278" s="164" t="n"/>
      <c r="J278" s="164" t="n"/>
    </row>
    <row r="279">
      <c r="A279" s="173" t="n"/>
      <c r="B279" s="164" t="n"/>
      <c r="C279" s="164" t="n"/>
      <c r="D279" s="164" t="n"/>
      <c r="E279" s="164" t="n"/>
      <c r="F279" s="164" t="n"/>
      <c r="G279" s="164" t="n"/>
      <c r="H279" s="164" t="n"/>
      <c r="I279" s="164" t="n"/>
      <c r="J279" s="164" t="n"/>
    </row>
    <row r="280">
      <c r="A280" s="173" t="n"/>
      <c r="B280" s="164" t="n"/>
      <c r="C280" s="164" t="n"/>
      <c r="D280" s="164" t="n"/>
      <c r="E280" s="164" t="n"/>
      <c r="F280" s="164" t="n"/>
      <c r="G280" s="164" t="n"/>
      <c r="H280" s="164" t="n"/>
      <c r="I280" s="164" t="n"/>
      <c r="J280" s="164" t="n"/>
    </row>
    <row r="281">
      <c r="A281" s="173" t="n"/>
      <c r="B281" s="164" t="n"/>
      <c r="C281" s="164" t="n"/>
      <c r="D281" s="164" t="n"/>
      <c r="E281" s="164" t="n"/>
      <c r="F281" s="164" t="n"/>
      <c r="G281" s="164" t="n"/>
      <c r="H281" s="164" t="n"/>
      <c r="I281" s="164" t="n"/>
      <c r="J281" s="164" t="n"/>
    </row>
    <row r="282">
      <c r="A282" s="173" t="n"/>
      <c r="B282" s="164" t="n"/>
      <c r="C282" s="164" t="n"/>
      <c r="D282" s="164" t="n"/>
      <c r="E282" s="164" t="n"/>
      <c r="F282" s="164" t="n"/>
      <c r="G282" s="164" t="n"/>
      <c r="H282" s="164" t="n"/>
      <c r="I282" s="164" t="n"/>
      <c r="J282" s="164" t="n"/>
    </row>
    <row r="283">
      <c r="A283" s="173" t="n"/>
      <c r="B283" s="164" t="n"/>
      <c r="C283" s="164" t="n"/>
      <c r="D283" s="164" t="n"/>
      <c r="E283" s="164" t="n"/>
      <c r="F283" s="164" t="n"/>
      <c r="G283" s="164" t="n"/>
      <c r="H283" s="164" t="n"/>
      <c r="I283" s="164" t="n"/>
      <c r="J283" s="164" t="n"/>
    </row>
    <row r="284">
      <c r="A284" s="173" t="n"/>
      <c r="B284" s="164" t="n"/>
      <c r="C284" s="164" t="n"/>
      <c r="D284" s="164" t="n"/>
      <c r="E284" s="164" t="n"/>
      <c r="F284" s="164" t="n"/>
      <c r="G284" s="164" t="n"/>
      <c r="H284" s="164" t="n"/>
      <c r="I284" s="164" t="n"/>
      <c r="J284" s="164" t="n"/>
    </row>
    <row r="285">
      <c r="A285" s="173" t="n"/>
      <c r="B285" s="164" t="n"/>
      <c r="C285" s="164" t="n"/>
      <c r="D285" s="164" t="n"/>
      <c r="E285" s="164" t="n"/>
      <c r="F285" s="164" t="n"/>
      <c r="G285" s="164" t="n"/>
      <c r="H285" s="164" t="n"/>
      <c r="I285" s="164" t="n"/>
      <c r="J285" s="164" t="n"/>
    </row>
    <row r="286">
      <c r="A286" s="173" t="n"/>
      <c r="B286" s="164" t="n"/>
      <c r="C286" s="164" t="n"/>
      <c r="D286" s="164" t="n"/>
      <c r="E286" s="164" t="n"/>
      <c r="F286" s="164" t="n"/>
      <c r="G286" s="164" t="n"/>
      <c r="H286" s="164" t="n"/>
      <c r="I286" s="164" t="n"/>
      <c r="J286" s="164" t="n"/>
    </row>
    <row r="287">
      <c r="A287" s="173" t="n"/>
      <c r="B287" s="164" t="n"/>
      <c r="C287" s="164" t="n"/>
      <c r="D287" s="164" t="n"/>
      <c r="E287" s="164" t="n"/>
      <c r="F287" s="164" t="n"/>
      <c r="G287" s="164" t="n"/>
      <c r="H287" s="164" t="n"/>
      <c r="I287" s="164" t="n"/>
      <c r="J287" s="164" t="n"/>
    </row>
    <row r="288">
      <c r="A288" s="173" t="n"/>
      <c r="B288" s="164" t="n"/>
      <c r="C288" s="164" t="n"/>
      <c r="D288" s="164" t="n"/>
      <c r="E288" s="164" t="n"/>
      <c r="F288" s="164" t="n"/>
      <c r="G288" s="164" t="n"/>
      <c r="H288" s="164" t="n"/>
      <c r="I288" s="164" t="n"/>
      <c r="J288" s="164" t="n"/>
    </row>
    <row r="289">
      <c r="A289" s="173" t="n"/>
      <c r="B289" s="164" t="n"/>
      <c r="C289" s="164" t="n"/>
      <c r="D289" s="164" t="n"/>
      <c r="E289" s="164" t="n"/>
      <c r="F289" s="164" t="n"/>
      <c r="G289" s="164" t="n"/>
      <c r="H289" s="164" t="n"/>
      <c r="I289" s="164" t="n"/>
      <c r="J289" s="164" t="n"/>
    </row>
    <row r="290">
      <c r="A290" s="173" t="n"/>
      <c r="B290" s="164" t="n"/>
      <c r="C290" s="164" t="n"/>
      <c r="D290" s="164" t="n"/>
      <c r="E290" s="164" t="n"/>
      <c r="F290" s="164" t="n"/>
      <c r="G290" s="164" t="n"/>
      <c r="H290" s="164" t="n"/>
      <c r="I290" s="164" t="n"/>
      <c r="J290" s="164" t="n"/>
    </row>
    <row r="291">
      <c r="A291" s="173" t="n"/>
      <c r="B291" s="164" t="n"/>
      <c r="C291" s="164" t="n"/>
      <c r="D291" s="164" t="n"/>
      <c r="E291" s="164" t="n"/>
      <c r="F291" s="164" t="n"/>
      <c r="G291" s="164" t="n"/>
      <c r="H291" s="164" t="n"/>
      <c r="I291" s="164" t="n"/>
      <c r="J291" s="164" t="n"/>
    </row>
    <row r="292">
      <c r="A292" s="173" t="n"/>
      <c r="B292" s="164" t="n"/>
      <c r="C292" s="164" t="n"/>
      <c r="D292" s="164" t="n"/>
      <c r="E292" s="164" t="n"/>
      <c r="F292" s="164" t="n"/>
      <c r="G292" s="164" t="n"/>
      <c r="H292" s="164" t="n"/>
      <c r="I292" s="164" t="n"/>
      <c r="J292" s="164" t="n"/>
    </row>
    <row r="293">
      <c r="A293" s="173" t="n"/>
      <c r="B293" s="164" t="n"/>
      <c r="C293" s="164" t="n"/>
      <c r="D293" s="164" t="n"/>
      <c r="E293" s="164" t="n"/>
      <c r="F293" s="164" t="n"/>
      <c r="G293" s="164" t="n"/>
      <c r="H293" s="164" t="n"/>
      <c r="I293" s="164" t="n"/>
      <c r="J293" s="164" t="n"/>
    </row>
    <row r="294">
      <c r="A294" s="173" t="n"/>
      <c r="B294" s="164" t="n"/>
      <c r="C294" s="164" t="n"/>
      <c r="D294" s="164" t="n"/>
      <c r="E294" s="164" t="n"/>
      <c r="F294" s="164" t="n"/>
      <c r="G294" s="164" t="n"/>
      <c r="H294" s="164" t="n"/>
      <c r="I294" s="164" t="n"/>
      <c r="J294" s="164" t="n"/>
    </row>
    <row r="295">
      <c r="A295" s="173" t="n"/>
      <c r="B295" s="164" t="n"/>
      <c r="C295" s="164" t="n"/>
      <c r="D295" s="164" t="n"/>
      <c r="E295" s="164" t="n"/>
      <c r="F295" s="164" t="n"/>
      <c r="G295" s="164" t="n"/>
      <c r="H295" s="164" t="n"/>
      <c r="I295" s="164" t="n"/>
      <c r="J295" s="164" t="n"/>
    </row>
    <row r="296">
      <c r="A296" s="173" t="n"/>
      <c r="B296" s="164" t="n"/>
      <c r="C296" s="164" t="n"/>
      <c r="D296" s="164" t="n"/>
      <c r="E296" s="164" t="n"/>
      <c r="F296" s="164" t="n"/>
      <c r="G296" s="164" t="n"/>
      <c r="H296" s="164" t="n"/>
      <c r="I296" s="164" t="n"/>
      <c r="J296" s="164" t="n"/>
    </row>
    <row r="297">
      <c r="A297" s="173" t="n"/>
      <c r="B297" s="164" t="n"/>
      <c r="C297" s="164" t="n"/>
      <c r="D297" s="164" t="n"/>
      <c r="E297" s="164" t="n"/>
      <c r="F297" s="164" t="n"/>
      <c r="G297" s="164" t="n"/>
      <c r="H297" s="164" t="n"/>
      <c r="I297" s="164" t="n"/>
      <c r="J297" s="164" t="n"/>
    </row>
    <row r="298">
      <c r="A298" s="173" t="n"/>
      <c r="B298" s="164" t="n"/>
      <c r="C298" s="164" t="n"/>
      <c r="D298" s="164" t="n"/>
      <c r="E298" s="164" t="n"/>
      <c r="F298" s="164" t="n"/>
      <c r="G298" s="164" t="n"/>
      <c r="H298" s="164" t="n"/>
      <c r="I298" s="164" t="n"/>
      <c r="J298" s="164" t="n"/>
    </row>
    <row r="299">
      <c r="A299" s="173" t="n"/>
      <c r="B299" s="164" t="n"/>
      <c r="C299" s="164" t="n"/>
      <c r="D299" s="164" t="n"/>
      <c r="E299" s="164" t="n"/>
      <c r="F299" s="164" t="n"/>
      <c r="G299" s="164" t="n"/>
      <c r="H299" s="164" t="n"/>
      <c r="I299" s="164" t="n"/>
      <c r="J299" s="164" t="n"/>
    </row>
    <row r="300">
      <c r="A300" s="173" t="n"/>
      <c r="B300" s="164" t="n"/>
      <c r="C300" s="164" t="n"/>
      <c r="D300" s="164" t="n"/>
      <c r="E300" s="164" t="n"/>
      <c r="F300" s="164" t="n"/>
      <c r="G300" s="164" t="n"/>
      <c r="H300" s="164" t="n"/>
      <c r="I300" s="164" t="n"/>
      <c r="J300" s="164" t="n"/>
    </row>
    <row r="301">
      <c r="A301" s="173" t="n"/>
      <c r="B301" s="164" t="n"/>
      <c r="C301" s="164" t="n"/>
      <c r="D301" s="164" t="n"/>
      <c r="E301" s="164" t="n"/>
      <c r="F301" s="164" t="n"/>
      <c r="G301" s="164" t="n"/>
      <c r="H301" s="164" t="n"/>
      <c r="I301" s="164" t="n"/>
      <c r="J301" s="164" t="n"/>
    </row>
    <row r="302">
      <c r="A302" s="173" t="n"/>
      <c r="B302" s="164" t="n"/>
      <c r="C302" s="164" t="n"/>
      <c r="D302" s="164" t="n"/>
      <c r="E302" s="164" t="n"/>
      <c r="F302" s="164" t="n"/>
      <c r="G302" s="164" t="n"/>
      <c r="H302" s="164" t="n"/>
      <c r="I302" s="164" t="n"/>
      <c r="J302" s="164" t="n"/>
    </row>
    <row r="303">
      <c r="A303" s="173" t="n"/>
      <c r="B303" s="164" t="n"/>
      <c r="C303" s="164" t="n"/>
      <c r="D303" s="164" t="n"/>
      <c r="E303" s="164" t="n"/>
      <c r="F303" s="164" t="n"/>
      <c r="G303" s="164" t="n"/>
      <c r="H303" s="164" t="n"/>
      <c r="I303" s="164" t="n"/>
      <c r="J303" s="164" t="n"/>
    </row>
    <row r="304">
      <c r="A304" s="173" t="n"/>
      <c r="B304" s="164" t="n"/>
      <c r="C304" s="164" t="n"/>
      <c r="D304" s="164" t="n"/>
      <c r="E304" s="164" t="n"/>
      <c r="F304" s="164" t="n"/>
      <c r="G304" s="164" t="n"/>
      <c r="H304" s="164" t="n"/>
      <c r="I304" s="164" t="n"/>
      <c r="J304" s="164" t="n"/>
    </row>
    <row r="305">
      <c r="A305" s="173" t="n"/>
      <c r="B305" s="164" t="n"/>
      <c r="C305" s="164" t="n"/>
      <c r="D305" s="164" t="n"/>
      <c r="E305" s="164" t="n"/>
      <c r="F305" s="164" t="n"/>
      <c r="G305" s="164" t="n"/>
      <c r="H305" s="164" t="n"/>
      <c r="I305" s="164" t="n"/>
      <c r="J305" s="164" t="n"/>
    </row>
    <row r="306">
      <c r="A306" s="173" t="n"/>
      <c r="B306" s="164" t="n"/>
      <c r="C306" s="164" t="n"/>
      <c r="D306" s="164" t="n"/>
      <c r="E306" s="164" t="n"/>
      <c r="F306" s="164" t="n"/>
      <c r="G306" s="164" t="n"/>
      <c r="H306" s="164" t="n"/>
      <c r="I306" s="164" t="n"/>
      <c r="J306" s="164" t="n"/>
    </row>
    <row r="307">
      <c r="A307" s="173" t="n"/>
      <c r="B307" s="164" t="n"/>
      <c r="C307" s="164" t="n"/>
      <c r="D307" s="164" t="n"/>
      <c r="E307" s="164" t="n"/>
      <c r="F307" s="164" t="n"/>
      <c r="G307" s="164" t="n"/>
      <c r="H307" s="164" t="n"/>
      <c r="I307" s="164" t="n"/>
      <c r="J307" s="164" t="n"/>
    </row>
    <row r="308">
      <c r="A308" s="173" t="n"/>
      <c r="B308" s="164" t="n"/>
      <c r="C308" s="164" t="n"/>
      <c r="D308" s="164" t="n"/>
      <c r="E308" s="164" t="n"/>
      <c r="F308" s="164" t="n"/>
      <c r="G308" s="164" t="n"/>
      <c r="H308" s="164" t="n"/>
      <c r="I308" s="164" t="n"/>
      <c r="J308" s="164" t="n"/>
    </row>
    <row r="309">
      <c r="A309" s="173" t="n"/>
      <c r="B309" s="164" t="n"/>
      <c r="C309" s="164" t="n"/>
      <c r="D309" s="164" t="n"/>
      <c r="E309" s="164" t="n"/>
      <c r="F309" s="164" t="n"/>
      <c r="G309" s="164" t="n"/>
      <c r="H309" s="164" t="n"/>
      <c r="I309" s="164" t="n"/>
      <c r="J309" s="164" t="n"/>
    </row>
    <row r="310">
      <c r="A310" s="173" t="n"/>
      <c r="B310" s="164" t="n"/>
      <c r="C310" s="164" t="n"/>
      <c r="D310" s="164" t="n"/>
      <c r="E310" s="164" t="n"/>
      <c r="F310" s="164" t="n"/>
      <c r="G310" s="164" t="n"/>
      <c r="H310" s="164" t="n"/>
      <c r="I310" s="164" t="n"/>
      <c r="J310" s="164" t="n"/>
    </row>
    <row r="311">
      <c r="A311" s="173" t="n"/>
      <c r="B311" s="164" t="n"/>
      <c r="C311" s="164" t="n"/>
      <c r="D311" s="164" t="n"/>
      <c r="E311" s="164" t="n"/>
      <c r="F311" s="164" t="n"/>
      <c r="G311" s="164" t="n"/>
      <c r="H311" s="164" t="n"/>
      <c r="I311" s="164" t="n"/>
      <c r="J311" s="164" t="n"/>
    </row>
    <row r="312">
      <c r="A312" s="173" t="n"/>
      <c r="B312" s="164" t="n"/>
      <c r="C312" s="164" t="n"/>
      <c r="D312" s="164" t="n"/>
      <c r="E312" s="164" t="n"/>
      <c r="F312" s="164" t="n"/>
      <c r="G312" s="164" t="n"/>
      <c r="H312" s="164" t="n"/>
      <c r="I312" s="164" t="n"/>
      <c r="J312" s="164" t="n"/>
    </row>
    <row r="313">
      <c r="A313" s="173" t="n"/>
      <c r="B313" s="164" t="n"/>
      <c r="C313" s="164" t="n"/>
      <c r="D313" s="164" t="n"/>
      <c r="E313" s="164" t="n"/>
      <c r="F313" s="164" t="n"/>
      <c r="G313" s="164" t="n"/>
      <c r="H313" s="164" t="n"/>
      <c r="I313" s="164" t="n"/>
      <c r="J313" s="164" t="n"/>
    </row>
    <row r="314">
      <c r="A314" s="173" t="n"/>
      <c r="B314" s="164" t="n"/>
      <c r="C314" s="164" t="n"/>
      <c r="D314" s="164" t="n"/>
      <c r="E314" s="164" t="n"/>
      <c r="F314" s="164" t="n"/>
      <c r="G314" s="164" t="n"/>
      <c r="H314" s="164" t="n"/>
      <c r="I314" s="164" t="n"/>
      <c r="J314" s="164" t="n"/>
    </row>
    <row r="315">
      <c r="A315" s="173" t="n"/>
      <c r="B315" s="164" t="n"/>
      <c r="C315" s="164" t="n"/>
      <c r="D315" s="164" t="n"/>
      <c r="E315" s="164" t="n"/>
      <c r="F315" s="164" t="n"/>
      <c r="G315" s="164" t="n"/>
      <c r="H315" s="164" t="n"/>
      <c r="I315" s="164" t="n"/>
      <c r="J315" s="164" t="n"/>
    </row>
    <row r="316">
      <c r="A316" s="173" t="n"/>
      <c r="B316" s="164" t="n"/>
      <c r="C316" s="164" t="n"/>
      <c r="D316" s="164" t="n"/>
      <c r="E316" s="164" t="n"/>
      <c r="F316" s="164" t="n"/>
      <c r="G316" s="164" t="n"/>
      <c r="H316" s="164" t="n"/>
      <c r="I316" s="164" t="n"/>
      <c r="J316" s="164" t="n"/>
    </row>
    <row r="317">
      <c r="A317" s="173" t="n"/>
      <c r="B317" s="164" t="n"/>
      <c r="C317" s="164" t="n"/>
      <c r="D317" s="164" t="n"/>
      <c r="E317" s="164" t="n"/>
      <c r="F317" s="164" t="n"/>
      <c r="G317" s="164" t="n"/>
      <c r="H317" s="164" t="n"/>
      <c r="I317" s="164" t="n"/>
      <c r="J317" s="164" t="n"/>
    </row>
    <row r="318">
      <c r="A318" s="173" t="n"/>
      <c r="B318" s="164" t="n"/>
      <c r="C318" s="164" t="n"/>
      <c r="D318" s="164" t="n"/>
      <c r="E318" s="164" t="n"/>
      <c r="F318" s="164" t="n"/>
      <c r="G318" s="164" t="n"/>
      <c r="H318" s="164" t="n"/>
      <c r="I318" s="164" t="n"/>
      <c r="J318" s="164" t="n"/>
    </row>
    <row r="319">
      <c r="A319" s="173" t="n"/>
      <c r="B319" s="164" t="n"/>
      <c r="C319" s="164" t="n"/>
      <c r="D319" s="164" t="n"/>
      <c r="E319" s="164" t="n"/>
      <c r="F319" s="164" t="n"/>
      <c r="G319" s="164" t="n"/>
      <c r="H319" s="164" t="n"/>
      <c r="I319" s="164" t="n"/>
      <c r="J319" s="164" t="n"/>
    </row>
    <row r="320">
      <c r="A320" s="173" t="n"/>
      <c r="B320" s="164" t="n"/>
      <c r="C320" s="164" t="n"/>
      <c r="D320" s="164" t="n"/>
      <c r="E320" s="164" t="n"/>
      <c r="F320" s="164" t="n"/>
      <c r="G320" s="164" t="n"/>
      <c r="H320" s="164" t="n"/>
      <c r="I320" s="164" t="n"/>
      <c r="J320" s="164" t="n"/>
    </row>
    <row r="321">
      <c r="A321" s="173" t="n"/>
      <c r="B321" s="164" t="n"/>
      <c r="C321" s="164" t="n"/>
      <c r="D321" s="164" t="n"/>
      <c r="E321" s="164" t="n"/>
      <c r="F321" s="164" t="n"/>
      <c r="G321" s="164" t="n"/>
      <c r="H321" s="164" t="n"/>
      <c r="I321" s="164" t="n"/>
      <c r="J321" s="164" t="n"/>
    </row>
    <row r="322">
      <c r="A322" s="173" t="n"/>
      <c r="B322" s="164" t="n"/>
      <c r="C322" s="164" t="n"/>
      <c r="D322" s="164" t="n"/>
      <c r="E322" s="164" t="n"/>
      <c r="F322" s="164" t="n"/>
      <c r="G322" s="164" t="n"/>
      <c r="H322" s="164" t="n"/>
      <c r="I322" s="164" t="n"/>
      <c r="J322" s="164" t="n"/>
    </row>
    <row r="323">
      <c r="A323" s="173" t="n"/>
      <c r="B323" s="164" t="n"/>
      <c r="C323" s="164" t="n"/>
      <c r="D323" s="164" t="n"/>
      <c r="E323" s="164" t="n"/>
      <c r="F323" s="164" t="n"/>
      <c r="G323" s="164" t="n"/>
      <c r="H323" s="164" t="n"/>
      <c r="I323" s="164" t="n"/>
      <c r="J323" s="164" t="n"/>
    </row>
    <row r="324">
      <c r="A324" s="173" t="n"/>
      <c r="B324" s="164" t="n"/>
      <c r="C324" s="164" t="n"/>
      <c r="D324" s="164" t="n"/>
      <c r="E324" s="164" t="n"/>
      <c r="F324" s="164" t="n"/>
      <c r="G324" s="164" t="n"/>
      <c r="H324" s="164" t="n"/>
      <c r="I324" s="164" t="n"/>
      <c r="J324" s="164" t="n"/>
    </row>
    <row r="325">
      <c r="A325" s="173" t="n"/>
      <c r="B325" s="164" t="n"/>
      <c r="C325" s="164" t="n"/>
      <c r="D325" s="164" t="n"/>
      <c r="E325" s="164" t="n"/>
      <c r="F325" s="164" t="n"/>
      <c r="G325" s="164" t="n"/>
      <c r="H325" s="164" t="n"/>
      <c r="I325" s="164" t="n"/>
      <c r="J325" s="164" t="n"/>
    </row>
    <row r="326">
      <c r="A326" s="173" t="n"/>
      <c r="B326" s="164" t="n"/>
      <c r="C326" s="164" t="n"/>
      <c r="D326" s="164" t="n"/>
      <c r="E326" s="164" t="n"/>
      <c r="F326" s="164" t="n"/>
      <c r="G326" s="164" t="n"/>
      <c r="H326" s="164" t="n"/>
      <c r="I326" s="164" t="n"/>
      <c r="J326" s="164" t="n"/>
    </row>
    <row r="327">
      <c r="A327" s="173" t="n"/>
      <c r="B327" s="164" t="n"/>
      <c r="C327" s="164" t="n"/>
      <c r="D327" s="164" t="n"/>
      <c r="E327" s="164" t="n"/>
      <c r="F327" s="164" t="n"/>
      <c r="G327" s="164" t="n"/>
      <c r="H327" s="164" t="n"/>
      <c r="I327" s="164" t="n"/>
      <c r="J327" s="164" t="n"/>
    </row>
    <row r="328">
      <c r="A328" s="173" t="n"/>
      <c r="B328" s="164" t="n"/>
      <c r="C328" s="164" t="n"/>
      <c r="D328" s="164" t="n"/>
      <c r="E328" s="164" t="n"/>
      <c r="F328" s="164" t="n"/>
      <c r="G328" s="164" t="n"/>
      <c r="H328" s="164" t="n"/>
      <c r="I328" s="164" t="n"/>
      <c r="J328" s="164" t="n"/>
    </row>
    <row r="329">
      <c r="A329" s="173" t="n"/>
      <c r="B329" s="164" t="n"/>
      <c r="C329" s="164" t="n"/>
      <c r="D329" s="164" t="n"/>
      <c r="E329" s="164" t="n"/>
      <c r="F329" s="164" t="n"/>
      <c r="G329" s="164" t="n"/>
      <c r="H329" s="164" t="n"/>
      <c r="I329" s="164" t="n"/>
      <c r="J329" s="164" t="n"/>
    </row>
    <row r="330">
      <c r="A330" s="173" t="n"/>
      <c r="B330" s="164" t="n"/>
      <c r="C330" s="164" t="n"/>
      <c r="D330" s="164" t="n"/>
      <c r="E330" s="164" t="n"/>
      <c r="F330" s="164" t="n"/>
      <c r="G330" s="164" t="n"/>
      <c r="H330" s="164" t="n"/>
      <c r="I330" s="164" t="n"/>
      <c r="J330" s="164" t="n"/>
    </row>
    <row r="331">
      <c r="A331" s="173" t="n"/>
      <c r="B331" s="164" t="n"/>
      <c r="C331" s="164" t="n"/>
      <c r="D331" s="164" t="n"/>
      <c r="E331" s="164" t="n"/>
      <c r="F331" s="164" t="n"/>
      <c r="G331" s="164" t="n"/>
      <c r="H331" s="164" t="n"/>
      <c r="I331" s="164" t="n"/>
      <c r="J331" s="164" t="n"/>
    </row>
    <row r="332">
      <c r="A332" s="173" t="n"/>
      <c r="B332" s="164" t="n"/>
      <c r="C332" s="164" t="n"/>
      <c r="D332" s="164" t="n"/>
      <c r="E332" s="164" t="n"/>
      <c r="F332" s="164" t="n"/>
      <c r="G332" s="164" t="n"/>
      <c r="H332" s="164" t="n"/>
      <c r="I332" s="164" t="n"/>
      <c r="J332" s="164" t="n"/>
    </row>
    <row r="333">
      <c r="A333" s="173" t="n"/>
      <c r="B333" s="164" t="n"/>
      <c r="C333" s="164" t="n"/>
      <c r="D333" s="164" t="n"/>
      <c r="E333" s="164" t="n"/>
      <c r="F333" s="164" t="n"/>
      <c r="G333" s="164" t="n"/>
      <c r="H333" s="164" t="n"/>
      <c r="I333" s="164" t="n"/>
      <c r="J333" s="164" t="n"/>
    </row>
    <row r="334">
      <c r="A334" s="173" t="n"/>
      <c r="B334" s="164" t="n"/>
      <c r="C334" s="164" t="n"/>
      <c r="D334" s="164" t="n"/>
      <c r="E334" s="164" t="n"/>
      <c r="F334" s="164" t="n"/>
      <c r="G334" s="164" t="n"/>
      <c r="H334" s="164" t="n"/>
      <c r="I334" s="164" t="n"/>
      <c r="J334" s="164" t="n"/>
    </row>
    <row r="335">
      <c r="A335" s="173" t="n"/>
      <c r="B335" s="164" t="n"/>
      <c r="C335" s="164" t="n"/>
      <c r="D335" s="164" t="n"/>
      <c r="E335" s="164" t="n"/>
      <c r="F335" s="164" t="n"/>
      <c r="G335" s="164" t="n"/>
      <c r="H335" s="164" t="n"/>
      <c r="I335" s="164" t="n"/>
      <c r="J335" s="164" t="n"/>
    </row>
    <row r="336">
      <c r="A336" s="173" t="n"/>
      <c r="B336" s="164" t="n"/>
      <c r="C336" s="164" t="n"/>
      <c r="D336" s="164" t="n"/>
      <c r="E336" s="164" t="n"/>
      <c r="F336" s="164" t="n"/>
      <c r="G336" s="164" t="n"/>
      <c r="H336" s="164" t="n"/>
      <c r="I336" s="164" t="n"/>
      <c r="J336" s="164" t="n"/>
    </row>
    <row r="337">
      <c r="A337" s="173" t="n"/>
      <c r="B337" s="164" t="n"/>
      <c r="C337" s="164" t="n"/>
      <c r="D337" s="164" t="n"/>
      <c r="E337" s="164" t="n"/>
      <c r="F337" s="164" t="n"/>
      <c r="G337" s="164" t="n"/>
      <c r="H337" s="164" t="n"/>
      <c r="I337" s="164" t="n"/>
      <c r="J337" s="164" t="n"/>
    </row>
    <row r="338">
      <c r="A338" s="173" t="n"/>
      <c r="B338" s="164" t="n"/>
      <c r="C338" s="164" t="n"/>
      <c r="D338" s="164" t="n"/>
      <c r="E338" s="164" t="n"/>
      <c r="F338" s="164" t="n"/>
      <c r="G338" s="164" t="n"/>
      <c r="H338" s="164" t="n"/>
      <c r="I338" s="164" t="n"/>
      <c r="J338" s="164" t="n"/>
    </row>
    <row r="339">
      <c r="A339" s="173" t="n"/>
      <c r="B339" s="164" t="n"/>
      <c r="C339" s="164" t="n"/>
      <c r="D339" s="164" t="n"/>
      <c r="E339" s="164" t="n"/>
      <c r="F339" s="164" t="n"/>
      <c r="G339" s="164" t="n"/>
      <c r="H339" s="164" t="n"/>
      <c r="I339" s="164" t="n"/>
      <c r="J339" s="164" t="n"/>
    </row>
    <row r="340">
      <c r="A340" s="173" t="n"/>
      <c r="B340" s="164" t="n"/>
      <c r="C340" s="164" t="n"/>
      <c r="D340" s="164" t="n"/>
      <c r="E340" s="164" t="n"/>
      <c r="F340" s="164" t="n"/>
      <c r="G340" s="164" t="n"/>
      <c r="H340" s="164" t="n"/>
      <c r="I340" s="164" t="n"/>
      <c r="J340" s="164" t="n"/>
    </row>
    <row r="341">
      <c r="A341" s="173" t="n"/>
      <c r="B341" s="164" t="n"/>
      <c r="C341" s="164" t="n"/>
      <c r="D341" s="164" t="n"/>
      <c r="E341" s="164" t="n"/>
      <c r="F341" s="164" t="n"/>
      <c r="G341" s="164" t="n"/>
      <c r="H341" s="164" t="n"/>
      <c r="I341" s="164" t="n"/>
      <c r="J341" s="164" t="n"/>
    </row>
    <row r="342">
      <c r="A342" s="173" t="n"/>
      <c r="B342" s="164" t="n"/>
      <c r="C342" s="164" t="n"/>
      <c r="D342" s="164" t="n"/>
      <c r="E342" s="164" t="n"/>
      <c r="F342" s="164" t="n"/>
      <c r="G342" s="164" t="n"/>
      <c r="H342" s="164" t="n"/>
      <c r="I342" s="164" t="n"/>
      <c r="J342" s="164" t="n"/>
    </row>
    <row r="343">
      <c r="A343" s="173" t="n"/>
      <c r="B343" s="164" t="n"/>
      <c r="C343" s="164" t="n"/>
      <c r="D343" s="164" t="n"/>
      <c r="E343" s="164" t="n"/>
      <c r="F343" s="164" t="n"/>
      <c r="G343" s="164" t="n"/>
      <c r="H343" s="164" t="n"/>
      <c r="I343" s="164" t="n"/>
      <c r="J343" s="164" t="n"/>
    </row>
    <row r="344">
      <c r="A344" s="173" t="n"/>
      <c r="B344" s="164" t="n"/>
      <c r="C344" s="164" t="n"/>
      <c r="D344" s="164" t="n"/>
      <c r="E344" s="164" t="n"/>
      <c r="F344" s="164" t="n"/>
      <c r="G344" s="164" t="n"/>
      <c r="H344" s="164" t="n"/>
      <c r="I344" s="164" t="n"/>
      <c r="J344" s="164" t="n"/>
    </row>
    <row r="345">
      <c r="A345" s="173" t="n"/>
      <c r="B345" s="164" t="n"/>
      <c r="C345" s="164" t="n"/>
      <c r="D345" s="164" t="n"/>
      <c r="E345" s="164" t="n"/>
      <c r="F345" s="164" t="n"/>
      <c r="G345" s="164" t="n"/>
      <c r="H345" s="164" t="n"/>
      <c r="I345" s="164" t="n"/>
      <c r="J345" s="164" t="n"/>
    </row>
    <row r="346">
      <c r="A346" s="173" t="n"/>
      <c r="B346" s="164" t="n"/>
      <c r="C346" s="164" t="n"/>
      <c r="D346" s="164" t="n"/>
      <c r="E346" s="164" t="n"/>
      <c r="F346" s="164" t="n"/>
      <c r="G346" s="164" t="n"/>
      <c r="H346" s="164" t="n"/>
      <c r="I346" s="164" t="n"/>
      <c r="J346" s="164" t="n"/>
    </row>
    <row r="347">
      <c r="A347" s="173" t="n"/>
      <c r="B347" s="164" t="n"/>
      <c r="C347" s="164" t="n"/>
      <c r="D347" s="164" t="n"/>
      <c r="E347" s="164" t="n"/>
      <c r="F347" s="164" t="n"/>
      <c r="G347" s="164" t="n"/>
      <c r="H347" s="164" t="n"/>
      <c r="I347" s="164" t="n"/>
      <c r="J347" s="164" t="n"/>
    </row>
    <row r="348">
      <c r="A348" s="173" t="n"/>
      <c r="B348" s="164" t="n"/>
      <c r="C348" s="164" t="n"/>
      <c r="D348" s="164" t="n"/>
      <c r="E348" s="164" t="n"/>
      <c r="F348" s="164" t="n"/>
      <c r="G348" s="164" t="n"/>
      <c r="H348" s="164" t="n"/>
      <c r="I348" s="164" t="n"/>
      <c r="J348" s="164" t="n"/>
    </row>
    <row r="349">
      <c r="A349" s="173" t="n"/>
      <c r="B349" s="164" t="n"/>
      <c r="C349" s="164" t="n"/>
      <c r="D349" s="164" t="n"/>
      <c r="E349" s="164" t="n"/>
      <c r="F349" s="164" t="n"/>
      <c r="G349" s="164" t="n"/>
      <c r="H349" s="164" t="n"/>
      <c r="I349" s="164" t="n"/>
      <c r="J349" s="164" t="n"/>
    </row>
    <row r="350">
      <c r="A350" s="173" t="n"/>
      <c r="B350" s="164" t="n"/>
      <c r="C350" s="164" t="n"/>
      <c r="D350" s="164" t="n"/>
      <c r="E350" s="164" t="n"/>
      <c r="F350" s="164" t="n"/>
      <c r="G350" s="164" t="n"/>
      <c r="H350" s="164" t="n"/>
      <c r="I350" s="164" t="n"/>
      <c r="J350" s="164" t="n"/>
    </row>
    <row r="351">
      <c r="A351" s="173" t="n"/>
      <c r="B351" s="164" t="n"/>
      <c r="C351" s="164" t="n"/>
      <c r="D351" s="164" t="n"/>
      <c r="E351" s="164" t="n"/>
      <c r="F351" s="164" t="n"/>
      <c r="G351" s="164" t="n"/>
      <c r="H351" s="164" t="n"/>
      <c r="I351" s="164" t="n"/>
      <c r="J351" s="164" t="n"/>
    </row>
    <row r="352">
      <c r="A352" s="173" t="n"/>
      <c r="B352" s="164" t="n"/>
      <c r="C352" s="164" t="n"/>
      <c r="D352" s="164" t="n"/>
      <c r="E352" s="164" t="n"/>
      <c r="F352" s="164" t="n"/>
      <c r="G352" s="164" t="n"/>
      <c r="H352" s="164" t="n"/>
      <c r="I352" s="164" t="n"/>
      <c r="J352" s="164" t="n"/>
    </row>
    <row r="353">
      <c r="A353" s="173" t="n"/>
      <c r="B353" s="164" t="n"/>
      <c r="C353" s="164" t="n"/>
      <c r="D353" s="164" t="n"/>
      <c r="E353" s="164" t="n"/>
      <c r="F353" s="164" t="n"/>
      <c r="G353" s="164" t="n"/>
      <c r="H353" s="164" t="n"/>
      <c r="I353" s="164" t="n"/>
      <c r="J353" s="164" t="n"/>
    </row>
    <row r="354">
      <c r="A354" s="173" t="n"/>
      <c r="B354" s="164" t="n"/>
      <c r="C354" s="164" t="n"/>
      <c r="D354" s="164" t="n"/>
      <c r="E354" s="164" t="n"/>
      <c r="F354" s="164" t="n"/>
      <c r="G354" s="164" t="n"/>
      <c r="H354" s="164" t="n"/>
      <c r="I354" s="164" t="n"/>
      <c r="J354" s="164" t="n"/>
    </row>
    <row r="355">
      <c r="A355" s="173" t="n"/>
      <c r="B355" s="164" t="n"/>
      <c r="C355" s="164" t="n"/>
      <c r="D355" s="164" t="n"/>
      <c r="E355" s="164" t="n"/>
      <c r="F355" s="164" t="n"/>
      <c r="G355" s="164" t="n"/>
      <c r="H355" s="164" t="n"/>
      <c r="I355" s="164" t="n"/>
      <c r="J355" s="164" t="n"/>
    </row>
    <row r="356">
      <c r="A356" s="173" t="n"/>
      <c r="B356" s="164" t="n"/>
      <c r="C356" s="164" t="n"/>
      <c r="D356" s="164" t="n"/>
      <c r="E356" s="164" t="n"/>
      <c r="F356" s="164" t="n"/>
      <c r="G356" s="164" t="n"/>
      <c r="H356" s="164" t="n"/>
      <c r="I356" s="164" t="n"/>
      <c r="J356" s="164" t="n"/>
    </row>
    <row r="357">
      <c r="A357" s="173" t="n"/>
      <c r="B357" s="164" t="n"/>
      <c r="C357" s="164" t="n"/>
      <c r="D357" s="164" t="n"/>
      <c r="E357" s="164" t="n"/>
      <c r="F357" s="164" t="n"/>
      <c r="G357" s="164" t="n"/>
      <c r="H357" s="164" t="n"/>
      <c r="I357" s="164" t="n"/>
      <c r="J357" s="164" t="n"/>
    </row>
    <row r="358">
      <c r="A358" s="173" t="n"/>
      <c r="B358" s="164" t="n"/>
      <c r="C358" s="164" t="n"/>
      <c r="D358" s="164" t="n"/>
      <c r="E358" s="164" t="n"/>
      <c r="F358" s="164" t="n"/>
      <c r="G358" s="164" t="n"/>
      <c r="H358" s="164" t="n"/>
      <c r="I358" s="164" t="n"/>
      <c r="J358" s="164" t="n"/>
    </row>
    <row r="359">
      <c r="A359" s="173" t="n"/>
      <c r="B359" s="164" t="n"/>
      <c r="C359" s="164" t="n"/>
      <c r="D359" s="164" t="n"/>
      <c r="E359" s="164" t="n"/>
      <c r="F359" s="164" t="n"/>
      <c r="G359" s="164" t="n"/>
      <c r="H359" s="164" t="n"/>
      <c r="I359" s="164" t="n"/>
      <c r="J359" s="164" t="n"/>
    </row>
    <row r="360">
      <c r="A360" s="173" t="n"/>
      <c r="B360" s="164" t="n"/>
      <c r="C360" s="164" t="n"/>
      <c r="D360" s="164" t="n"/>
      <c r="E360" s="164" t="n"/>
      <c r="F360" s="164" t="n"/>
      <c r="G360" s="164" t="n"/>
      <c r="H360" s="164" t="n"/>
      <c r="I360" s="164" t="n"/>
      <c r="J360" s="164" t="n"/>
    </row>
    <row r="361">
      <c r="A361" s="173" t="n"/>
      <c r="B361" s="164" t="n"/>
      <c r="C361" s="164" t="n"/>
      <c r="D361" s="164" t="n"/>
      <c r="E361" s="164" t="n"/>
      <c r="F361" s="164" t="n"/>
      <c r="G361" s="164" t="n"/>
      <c r="H361" s="164" t="n"/>
      <c r="I361" s="164" t="n"/>
      <c r="J361" s="164" t="n"/>
    </row>
    <row r="362">
      <c r="A362" s="173" t="n"/>
      <c r="B362" s="164" t="n"/>
      <c r="C362" s="164" t="n"/>
      <c r="D362" s="164" t="n"/>
      <c r="E362" s="164" t="n"/>
      <c r="F362" s="164" t="n"/>
      <c r="G362" s="164" t="n"/>
      <c r="H362" s="164" t="n"/>
      <c r="I362" s="164" t="n"/>
      <c r="J362" s="164" t="n"/>
    </row>
    <row r="363">
      <c r="A363" s="173" t="n"/>
      <c r="B363" s="164" t="n"/>
      <c r="C363" s="164" t="n"/>
      <c r="D363" s="164" t="n"/>
      <c r="E363" s="164" t="n"/>
      <c r="F363" s="164" t="n"/>
      <c r="G363" s="164" t="n"/>
      <c r="H363" s="164" t="n"/>
      <c r="I363" s="164" t="n"/>
      <c r="J363" s="164" t="n"/>
    </row>
    <row r="364">
      <c r="A364" s="173" t="n"/>
      <c r="B364" s="164" t="n"/>
      <c r="C364" s="164" t="n"/>
      <c r="D364" s="164" t="n"/>
      <c r="E364" s="164" t="n"/>
      <c r="F364" s="164" t="n"/>
      <c r="G364" s="164" t="n"/>
      <c r="H364" s="164" t="n"/>
      <c r="I364" s="164" t="n"/>
      <c r="J364" s="164" t="n"/>
    </row>
    <row r="365">
      <c r="A365" s="173" t="n"/>
      <c r="B365" s="164" t="n"/>
      <c r="C365" s="164" t="n"/>
      <c r="D365" s="164" t="n"/>
      <c r="E365" s="164" t="n"/>
      <c r="F365" s="164" t="n"/>
      <c r="G365" s="164" t="n"/>
      <c r="H365" s="164" t="n"/>
      <c r="I365" s="164" t="n"/>
      <c r="J365" s="164" t="n"/>
    </row>
    <row r="366">
      <c r="A366" s="173" t="n"/>
      <c r="B366" s="164" t="n"/>
      <c r="C366" s="164" t="n"/>
      <c r="D366" s="164" t="n"/>
      <c r="E366" s="164" t="n"/>
      <c r="F366" s="164" t="n"/>
      <c r="G366" s="164" t="n"/>
      <c r="H366" s="164" t="n"/>
      <c r="I366" s="164" t="n"/>
      <c r="J366" s="164" t="n"/>
    </row>
    <row r="367">
      <c r="A367" s="173" t="n"/>
      <c r="B367" s="164" t="n"/>
      <c r="C367" s="164" t="n"/>
      <c r="D367" s="164" t="n"/>
      <c r="E367" s="164" t="n"/>
      <c r="F367" s="164" t="n"/>
      <c r="G367" s="164" t="n"/>
      <c r="H367" s="164" t="n"/>
      <c r="I367" s="164" t="n"/>
      <c r="J367" s="164" t="n"/>
    </row>
    <row r="368">
      <c r="A368" s="173" t="n"/>
      <c r="B368" s="164" t="n"/>
      <c r="C368" s="164" t="n"/>
      <c r="D368" s="164" t="n"/>
      <c r="E368" s="164" t="n"/>
      <c r="F368" s="164" t="n"/>
      <c r="G368" s="164" t="n"/>
      <c r="H368" s="164" t="n"/>
      <c r="I368" s="164" t="n"/>
      <c r="J368" s="164" t="n"/>
    </row>
    <row r="369">
      <c r="A369" s="173" t="n"/>
      <c r="B369" s="164" t="n"/>
      <c r="C369" s="164" t="n"/>
      <c r="D369" s="164" t="n"/>
      <c r="E369" s="164" t="n"/>
      <c r="F369" s="164" t="n"/>
      <c r="G369" s="164" t="n"/>
      <c r="H369" s="164" t="n"/>
      <c r="I369" s="164" t="n"/>
      <c r="J369" s="164" t="n"/>
    </row>
    <row r="370">
      <c r="A370" s="173" t="n"/>
      <c r="B370" s="164" t="n"/>
      <c r="C370" s="164" t="n"/>
      <c r="D370" s="164" t="n"/>
      <c r="E370" s="164" t="n"/>
      <c r="F370" s="164" t="n"/>
      <c r="G370" s="164" t="n"/>
      <c r="H370" s="164" t="n"/>
      <c r="I370" s="164" t="n"/>
      <c r="J370" s="164" t="n"/>
    </row>
    <row r="371">
      <c r="A371" s="173" t="n"/>
      <c r="B371" s="164" t="n"/>
      <c r="C371" s="164" t="n"/>
      <c r="D371" s="164" t="n"/>
      <c r="E371" s="164" t="n"/>
      <c r="F371" s="164" t="n"/>
      <c r="G371" s="164" t="n"/>
      <c r="H371" s="164" t="n"/>
      <c r="I371" s="164" t="n"/>
      <c r="J371" s="164" t="n"/>
    </row>
    <row r="372">
      <c r="A372" s="173" t="n"/>
      <c r="B372" s="164" t="n"/>
      <c r="C372" s="164" t="n"/>
      <c r="D372" s="164" t="n"/>
      <c r="E372" s="164" t="n"/>
      <c r="F372" s="164" t="n"/>
      <c r="G372" s="164" t="n"/>
      <c r="H372" s="164" t="n"/>
      <c r="I372" s="164" t="n"/>
      <c r="J372" s="164" t="n"/>
    </row>
    <row r="373">
      <c r="A373" s="173" t="n"/>
      <c r="B373" s="164" t="n"/>
      <c r="C373" s="164" t="n"/>
      <c r="D373" s="164" t="n"/>
      <c r="E373" s="164" t="n"/>
      <c r="F373" s="164" t="n"/>
      <c r="G373" s="164" t="n"/>
      <c r="H373" s="164" t="n"/>
      <c r="I373" s="164" t="n"/>
      <c r="J373" s="164" t="n"/>
    </row>
    <row r="374">
      <c r="A374" s="173" t="n"/>
      <c r="B374" s="164" t="n"/>
      <c r="C374" s="164" t="n"/>
      <c r="D374" s="164" t="n"/>
      <c r="E374" s="164" t="n"/>
      <c r="F374" s="164" t="n"/>
      <c r="G374" s="164" t="n"/>
      <c r="H374" s="164" t="n"/>
      <c r="I374" s="164" t="n"/>
      <c r="J374" s="164" t="n"/>
    </row>
    <row r="375">
      <c r="A375" s="173" t="n"/>
      <c r="B375" s="164" t="n"/>
      <c r="C375" s="164" t="n"/>
      <c r="D375" s="164" t="n"/>
      <c r="E375" s="164" t="n"/>
      <c r="F375" s="164" t="n"/>
      <c r="G375" s="164" t="n"/>
      <c r="H375" s="164" t="n"/>
      <c r="I375" s="164" t="n"/>
      <c r="J375" s="164" t="n"/>
    </row>
    <row r="376">
      <c r="A376" s="173" t="n"/>
      <c r="B376" s="164" t="n"/>
      <c r="C376" s="164" t="n"/>
      <c r="D376" s="164" t="n"/>
      <c r="E376" s="164" t="n"/>
      <c r="F376" s="164" t="n"/>
      <c r="G376" s="164" t="n"/>
      <c r="H376" s="164" t="n"/>
      <c r="I376" s="164" t="n"/>
      <c r="J376" s="164" t="n"/>
    </row>
    <row r="377">
      <c r="A377" s="173" t="n"/>
      <c r="B377" s="164" t="n"/>
      <c r="C377" s="164" t="n"/>
      <c r="D377" s="164" t="n"/>
      <c r="E377" s="164" t="n"/>
      <c r="F377" s="164" t="n"/>
      <c r="G377" s="164" t="n"/>
      <c r="H377" s="164" t="n"/>
      <c r="I377" s="164" t="n"/>
      <c r="J377" s="164" t="n"/>
    </row>
    <row r="378">
      <c r="A378" s="173" t="n"/>
      <c r="B378" s="164" t="n"/>
      <c r="C378" s="164" t="n"/>
      <c r="D378" s="164" t="n"/>
      <c r="E378" s="164" t="n"/>
      <c r="F378" s="164" t="n"/>
      <c r="G378" s="164" t="n"/>
      <c r="H378" s="164" t="n"/>
      <c r="I378" s="164" t="n"/>
      <c r="J378" s="164" t="n"/>
    </row>
    <row r="379">
      <c r="A379" s="173" t="n"/>
      <c r="B379" s="164" t="n"/>
      <c r="C379" s="164" t="n"/>
      <c r="D379" s="164" t="n"/>
      <c r="E379" s="164" t="n"/>
      <c r="F379" s="164" t="n"/>
      <c r="G379" s="164" t="n"/>
      <c r="H379" s="164" t="n"/>
      <c r="I379" s="164" t="n"/>
      <c r="J379" s="164" t="n"/>
    </row>
    <row r="380">
      <c r="A380" s="173" t="n"/>
      <c r="B380" s="164" t="n"/>
      <c r="C380" s="164" t="n"/>
      <c r="D380" s="164" t="n"/>
      <c r="E380" s="164" t="n"/>
      <c r="F380" s="164" t="n"/>
      <c r="G380" s="164" t="n"/>
      <c r="H380" s="164" t="n"/>
      <c r="I380" s="164" t="n"/>
      <c r="J380" s="164" t="n"/>
    </row>
    <row r="381">
      <c r="A381" s="173" t="n"/>
      <c r="B381" s="164" t="n"/>
      <c r="C381" s="164" t="n"/>
      <c r="D381" s="164" t="n"/>
      <c r="E381" s="164" t="n"/>
      <c r="F381" s="164" t="n"/>
      <c r="G381" s="164" t="n"/>
      <c r="H381" s="164" t="n"/>
      <c r="I381" s="164" t="n"/>
      <c r="J381" s="164" t="n"/>
    </row>
    <row r="382">
      <c r="A382" s="173" t="n"/>
      <c r="B382" s="164" t="n"/>
      <c r="C382" s="164" t="n"/>
      <c r="D382" s="164" t="n"/>
      <c r="E382" s="164" t="n"/>
      <c r="F382" s="164" t="n"/>
      <c r="G382" s="164" t="n"/>
      <c r="H382" s="164" t="n"/>
      <c r="I382" s="164" t="n"/>
      <c r="J382" s="164" t="n"/>
    </row>
    <row r="383">
      <c r="A383" s="173" t="n"/>
      <c r="B383" s="164" t="n"/>
      <c r="C383" s="164" t="n"/>
      <c r="D383" s="164" t="n"/>
      <c r="E383" s="164" t="n"/>
      <c r="F383" s="164" t="n"/>
      <c r="G383" s="164" t="n"/>
      <c r="H383" s="164" t="n"/>
      <c r="I383" s="164" t="n"/>
      <c r="J383" s="164" t="n"/>
    </row>
    <row r="384">
      <c r="A384" s="173" t="n"/>
      <c r="B384" s="164" t="n"/>
      <c r="C384" s="164" t="n"/>
      <c r="D384" s="164" t="n"/>
      <c r="E384" s="164" t="n"/>
      <c r="F384" s="164" t="n"/>
      <c r="G384" s="164" t="n"/>
      <c r="H384" s="164" t="n"/>
      <c r="I384" s="164" t="n"/>
      <c r="J384" s="164" t="n"/>
    </row>
    <row r="385">
      <c r="A385" s="173" t="n"/>
      <c r="B385" s="164" t="n"/>
      <c r="C385" s="164" t="n"/>
      <c r="D385" s="164" t="n"/>
      <c r="E385" s="164" t="n"/>
      <c r="F385" s="164" t="n"/>
      <c r="G385" s="164" t="n"/>
      <c r="H385" s="164" t="n"/>
      <c r="I385" s="164" t="n"/>
      <c r="J385" s="164" t="n"/>
    </row>
    <row r="386">
      <c r="A386" s="173" t="n"/>
      <c r="B386" s="164" t="n"/>
      <c r="C386" s="164" t="n"/>
      <c r="D386" s="164" t="n"/>
      <c r="E386" s="164" t="n"/>
      <c r="F386" s="164" t="n"/>
      <c r="G386" s="164" t="n"/>
      <c r="H386" s="164" t="n"/>
      <c r="I386" s="164" t="n"/>
      <c r="J386" s="164" t="n"/>
    </row>
    <row r="387">
      <c r="A387" s="173" t="n"/>
      <c r="B387" s="164" t="n"/>
      <c r="C387" s="164" t="n"/>
      <c r="D387" s="164" t="n"/>
      <c r="E387" s="164" t="n"/>
      <c r="F387" s="164" t="n"/>
      <c r="G387" s="164" t="n"/>
      <c r="H387" s="164" t="n"/>
      <c r="I387" s="164" t="n"/>
      <c r="J387" s="164" t="n"/>
    </row>
    <row r="388">
      <c r="A388" s="173" t="n"/>
      <c r="B388" s="164" t="n"/>
      <c r="C388" s="164" t="n"/>
      <c r="D388" s="164" t="n"/>
      <c r="E388" s="164" t="n"/>
      <c r="F388" s="164" t="n"/>
      <c r="G388" s="164" t="n"/>
      <c r="H388" s="164" t="n"/>
      <c r="I388" s="164" t="n"/>
      <c r="J388" s="164" t="n"/>
    </row>
    <row r="389">
      <c r="A389" s="173" t="n"/>
      <c r="B389" s="164" t="n"/>
      <c r="C389" s="164" t="n"/>
      <c r="D389" s="164" t="n"/>
      <c r="E389" s="164" t="n"/>
      <c r="F389" s="164" t="n"/>
      <c r="G389" s="164" t="n"/>
      <c r="H389" s="164" t="n"/>
      <c r="I389" s="164" t="n"/>
      <c r="J389" s="164" t="n"/>
    </row>
    <row r="390">
      <c r="A390" s="173" t="n"/>
      <c r="B390" s="164" t="n"/>
      <c r="C390" s="164" t="n"/>
      <c r="D390" s="164" t="n"/>
      <c r="E390" s="164" t="n"/>
      <c r="F390" s="164" t="n"/>
      <c r="G390" s="164" t="n"/>
      <c r="H390" s="164" t="n"/>
      <c r="I390" s="164" t="n"/>
      <c r="J390" s="164" t="n"/>
    </row>
    <row r="391">
      <c r="A391" s="173" t="n"/>
      <c r="B391" s="164" t="n"/>
      <c r="C391" s="164" t="n"/>
      <c r="D391" s="164" t="n"/>
      <c r="E391" s="164" t="n"/>
      <c r="F391" s="164" t="n"/>
      <c r="G391" s="164" t="n"/>
      <c r="H391" s="164" t="n"/>
      <c r="I391" s="164" t="n"/>
      <c r="J391" s="164" t="n"/>
    </row>
    <row r="392">
      <c r="A392" s="173" t="n"/>
      <c r="B392" s="164" t="n"/>
      <c r="C392" s="164" t="n"/>
      <c r="D392" s="164" t="n"/>
      <c r="E392" s="164" t="n"/>
      <c r="F392" s="164" t="n"/>
      <c r="G392" s="164" t="n"/>
      <c r="H392" s="164" t="n"/>
      <c r="I392" s="164" t="n"/>
      <c r="J392" s="164" t="n"/>
    </row>
    <row r="393">
      <c r="A393" s="173" t="n"/>
      <c r="B393" s="164" t="n"/>
      <c r="C393" s="164" t="n"/>
      <c r="D393" s="164" t="n"/>
      <c r="E393" s="164" t="n"/>
      <c r="F393" s="164" t="n"/>
      <c r="G393" s="164" t="n"/>
      <c r="H393" s="164" t="n"/>
      <c r="I393" s="164" t="n"/>
      <c r="J393" s="164" t="n"/>
    </row>
    <row r="394">
      <c r="A394" s="173" t="n"/>
      <c r="B394" s="164" t="n"/>
      <c r="C394" s="164" t="n"/>
      <c r="D394" s="164" t="n"/>
      <c r="E394" s="164" t="n"/>
      <c r="F394" s="164" t="n"/>
      <c r="G394" s="164" t="n"/>
      <c r="H394" s="164" t="n"/>
      <c r="I394" s="164" t="n"/>
      <c r="J394" s="164" t="n"/>
    </row>
    <row r="395">
      <c r="A395" s="173" t="n"/>
      <c r="B395" s="164" t="n"/>
      <c r="C395" s="164" t="n"/>
      <c r="D395" s="164" t="n"/>
      <c r="E395" s="164" t="n"/>
      <c r="F395" s="164" t="n"/>
      <c r="G395" s="164" t="n"/>
      <c r="H395" s="164" t="n"/>
      <c r="I395" s="164" t="n"/>
      <c r="J395" s="164" t="n"/>
    </row>
    <row r="396">
      <c r="A396" s="173" t="n"/>
      <c r="B396" s="164" t="n"/>
      <c r="C396" s="164" t="n"/>
      <c r="D396" s="164" t="n"/>
      <c r="E396" s="164" t="n"/>
      <c r="F396" s="164" t="n"/>
      <c r="G396" s="164" t="n"/>
      <c r="H396" s="164" t="n"/>
      <c r="I396" s="164" t="n"/>
      <c r="J396" s="164" t="n"/>
    </row>
    <row r="397">
      <c r="A397" s="173" t="n"/>
      <c r="B397" s="164" t="n"/>
      <c r="C397" s="164" t="n"/>
      <c r="D397" s="164" t="n"/>
      <c r="E397" s="164" t="n"/>
      <c r="F397" s="164" t="n"/>
      <c r="G397" s="164" t="n"/>
      <c r="H397" s="164" t="n"/>
      <c r="I397" s="164" t="n"/>
      <c r="J397" s="164" t="n"/>
    </row>
    <row r="398">
      <c r="A398" s="173" t="n"/>
      <c r="B398" s="164" t="n"/>
      <c r="C398" s="164" t="n"/>
      <c r="D398" s="164" t="n"/>
      <c r="E398" s="164" t="n"/>
      <c r="F398" s="164" t="n"/>
      <c r="G398" s="164" t="n"/>
      <c r="H398" s="164" t="n"/>
      <c r="I398" s="164" t="n"/>
      <c r="J398" s="164" t="n"/>
    </row>
    <row r="399">
      <c r="A399" s="173" t="n"/>
      <c r="B399" s="164" t="n"/>
      <c r="C399" s="164" t="n"/>
      <c r="D399" s="164" t="n"/>
      <c r="E399" s="164" t="n"/>
      <c r="F399" s="164" t="n"/>
      <c r="G399" s="164" t="n"/>
      <c r="H399" s="164" t="n"/>
      <c r="I399" s="164" t="n"/>
      <c r="J399" s="164" t="n"/>
    </row>
    <row r="400">
      <c r="A400" s="173" t="n"/>
      <c r="B400" s="164" t="n"/>
      <c r="C400" s="164" t="n"/>
      <c r="D400" s="164" t="n"/>
      <c r="E400" s="164" t="n"/>
      <c r="F400" s="164" t="n"/>
      <c r="G400" s="164" t="n"/>
      <c r="H400" s="164" t="n"/>
      <c r="I400" s="164" t="n"/>
      <c r="J400" s="164" t="n"/>
    </row>
    <row r="401">
      <c r="A401" s="173" t="n"/>
      <c r="B401" s="164" t="n"/>
      <c r="C401" s="164" t="n"/>
      <c r="D401" s="164" t="n"/>
      <c r="E401" s="164" t="n"/>
      <c r="F401" s="164" t="n"/>
      <c r="G401" s="164" t="n"/>
      <c r="H401" s="164" t="n"/>
      <c r="I401" s="164" t="n"/>
      <c r="J401" s="164" t="n"/>
    </row>
    <row r="402">
      <c r="A402" s="173" t="n"/>
      <c r="B402" s="164" t="n"/>
      <c r="C402" s="164" t="n"/>
      <c r="D402" s="164" t="n"/>
      <c r="E402" s="164" t="n"/>
      <c r="F402" s="164" t="n"/>
      <c r="G402" s="164" t="n"/>
      <c r="H402" s="164" t="n"/>
      <c r="I402" s="164" t="n"/>
      <c r="J402" s="164" t="n"/>
    </row>
    <row r="403">
      <c r="A403" s="173" t="n"/>
      <c r="B403" s="164" t="n"/>
      <c r="C403" s="164" t="n"/>
      <c r="D403" s="164" t="n"/>
      <c r="E403" s="164" t="n"/>
      <c r="F403" s="164" t="n"/>
      <c r="G403" s="164" t="n"/>
      <c r="H403" s="164" t="n"/>
      <c r="I403" s="164" t="n"/>
      <c r="J403" s="164" t="n"/>
    </row>
    <row r="404">
      <c r="A404" s="173" t="n"/>
      <c r="B404" s="164" t="n"/>
      <c r="C404" s="164" t="n"/>
      <c r="D404" s="164" t="n"/>
      <c r="E404" s="164" t="n"/>
      <c r="F404" s="164" t="n"/>
      <c r="G404" s="164" t="n"/>
      <c r="H404" s="164" t="n"/>
      <c r="I404" s="164" t="n"/>
      <c r="J404" s="164" t="n"/>
    </row>
    <row r="405">
      <c r="A405" s="173" t="n"/>
      <c r="B405" s="164" t="n"/>
      <c r="C405" s="164" t="n"/>
      <c r="D405" s="164" t="n"/>
      <c r="E405" s="164" t="n"/>
      <c r="F405" s="164" t="n"/>
      <c r="G405" s="164" t="n"/>
      <c r="H405" s="164" t="n"/>
      <c r="I405" s="164" t="n"/>
      <c r="J405" s="164" t="n"/>
    </row>
    <row r="406">
      <c r="A406" s="173" t="n"/>
      <c r="B406" s="164" t="n"/>
      <c r="C406" s="164" t="n"/>
      <c r="D406" s="164" t="n"/>
      <c r="E406" s="164" t="n"/>
      <c r="F406" s="164" t="n"/>
      <c r="G406" s="164" t="n"/>
      <c r="H406" s="164" t="n"/>
      <c r="I406" s="164" t="n"/>
      <c r="J406" s="164" t="n"/>
    </row>
    <row r="407">
      <c r="A407" s="173" t="n"/>
      <c r="B407" s="164" t="n"/>
      <c r="C407" s="164" t="n"/>
      <c r="D407" s="164" t="n"/>
      <c r="E407" s="164" t="n"/>
      <c r="F407" s="164" t="n"/>
      <c r="G407" s="164" t="n"/>
      <c r="H407" s="164" t="n"/>
      <c r="I407" s="164" t="n"/>
      <c r="J407" s="164" t="n"/>
    </row>
    <row r="408">
      <c r="A408" s="173" t="n"/>
      <c r="B408" s="164" t="n"/>
      <c r="C408" s="164" t="n"/>
      <c r="D408" s="164" t="n"/>
      <c r="E408" s="164" t="n"/>
      <c r="F408" s="164" t="n"/>
      <c r="G408" s="164" t="n"/>
      <c r="H408" s="164" t="n"/>
      <c r="I408" s="164" t="n"/>
      <c r="J408" s="164" t="n"/>
    </row>
    <row r="409">
      <c r="A409" s="173" t="n"/>
      <c r="B409" s="164" t="n"/>
      <c r="C409" s="164" t="n"/>
      <c r="D409" s="164" t="n"/>
      <c r="E409" s="164" t="n"/>
      <c r="F409" s="164" t="n"/>
      <c r="G409" s="164" t="n"/>
      <c r="H409" s="164" t="n"/>
      <c r="I409" s="164" t="n"/>
      <c r="J409" s="164" t="n"/>
    </row>
    <row r="410">
      <c r="A410" s="173" t="n"/>
      <c r="B410" s="164" t="n"/>
      <c r="C410" s="164" t="n"/>
      <c r="D410" s="164" t="n"/>
      <c r="E410" s="164" t="n"/>
      <c r="F410" s="164" t="n"/>
      <c r="G410" s="164" t="n"/>
      <c r="H410" s="164" t="n"/>
      <c r="I410" s="164" t="n"/>
      <c r="J410" s="164" t="n"/>
    </row>
    <row r="411">
      <c r="A411" s="173" t="n"/>
      <c r="B411" s="164" t="n"/>
      <c r="C411" s="164" t="n"/>
      <c r="D411" s="164" t="n"/>
      <c r="E411" s="164" t="n"/>
      <c r="F411" s="164" t="n"/>
      <c r="G411" s="164" t="n"/>
      <c r="H411" s="164" t="n"/>
      <c r="I411" s="164" t="n"/>
      <c r="J411" s="164" t="n"/>
    </row>
    <row r="412">
      <c r="A412" s="173" t="n"/>
      <c r="B412" s="164" t="n"/>
      <c r="C412" s="164" t="n"/>
      <c r="D412" s="164" t="n"/>
      <c r="E412" s="164" t="n"/>
      <c r="F412" s="164" t="n"/>
      <c r="G412" s="164" t="n"/>
      <c r="H412" s="164" t="n"/>
      <c r="I412" s="164" t="n"/>
      <c r="J412" s="164" t="n"/>
    </row>
    <row r="413">
      <c r="A413" s="173" t="n"/>
      <c r="B413" s="164" t="n"/>
      <c r="C413" s="164" t="n"/>
      <c r="D413" s="164" t="n"/>
      <c r="E413" s="164" t="n"/>
      <c r="F413" s="164" t="n"/>
      <c r="G413" s="164" t="n"/>
      <c r="H413" s="164" t="n"/>
      <c r="I413" s="164" t="n"/>
      <c r="J413" s="164" t="n"/>
    </row>
    <row r="414">
      <c r="A414" s="173" t="n"/>
      <c r="B414" s="164" t="n"/>
      <c r="C414" s="164" t="n"/>
      <c r="D414" s="164" t="n"/>
      <c r="E414" s="164" t="n"/>
      <c r="F414" s="164" t="n"/>
      <c r="G414" s="164" t="n"/>
      <c r="H414" s="164" t="n"/>
      <c r="I414" s="164" t="n"/>
      <c r="J414" s="164" t="n"/>
    </row>
    <row r="415">
      <c r="A415" s="173" t="n"/>
      <c r="B415" s="164" t="n"/>
      <c r="C415" s="164" t="n"/>
      <c r="D415" s="164" t="n"/>
      <c r="E415" s="164" t="n"/>
      <c r="F415" s="164" t="n"/>
      <c r="G415" s="164" t="n"/>
      <c r="H415" s="164" t="n"/>
      <c r="I415" s="164" t="n"/>
      <c r="J415" s="164" t="n"/>
    </row>
    <row r="416">
      <c r="A416" s="173" t="n"/>
      <c r="B416" s="164" t="n"/>
      <c r="C416" s="164" t="n"/>
      <c r="D416" s="164" t="n"/>
      <c r="E416" s="164" t="n"/>
      <c r="F416" s="164" t="n"/>
      <c r="G416" s="164" t="n"/>
      <c r="H416" s="164" t="n"/>
      <c r="I416" s="164" t="n"/>
      <c r="J416" s="164" t="n"/>
    </row>
    <row r="417">
      <c r="A417" s="173" t="n"/>
      <c r="B417" s="164" t="n"/>
      <c r="C417" s="164" t="n"/>
      <c r="D417" s="164" t="n"/>
      <c r="E417" s="164" t="n"/>
      <c r="F417" s="164" t="n"/>
      <c r="G417" s="164" t="n"/>
      <c r="H417" s="164" t="n"/>
      <c r="I417" s="164" t="n"/>
      <c r="J417" s="164" t="n"/>
    </row>
    <row r="418">
      <c r="A418" s="173" t="n"/>
      <c r="B418" s="164" t="n"/>
      <c r="C418" s="164" t="n"/>
      <c r="D418" s="164" t="n"/>
      <c r="E418" s="164" t="n"/>
      <c r="F418" s="164" t="n"/>
      <c r="G418" s="164" t="n"/>
      <c r="H418" s="164" t="n"/>
      <c r="I418" s="164" t="n"/>
      <c r="J418" s="164" t="n"/>
    </row>
    <row r="419">
      <c r="A419" s="173" t="n"/>
      <c r="B419" s="164" t="n"/>
      <c r="C419" s="164" t="n"/>
      <c r="D419" s="164" t="n"/>
      <c r="E419" s="164" t="n"/>
      <c r="F419" s="164" t="n"/>
      <c r="G419" s="164" t="n"/>
      <c r="H419" s="164" t="n"/>
      <c r="I419" s="164" t="n"/>
      <c r="J419" s="164" t="n"/>
    </row>
    <row r="420">
      <c r="A420" s="173" t="n"/>
      <c r="B420" s="164" t="n"/>
      <c r="C420" s="164" t="n"/>
      <c r="D420" s="164" t="n"/>
      <c r="E420" s="164" t="n"/>
      <c r="F420" s="164" t="n"/>
      <c r="G420" s="164" t="n"/>
      <c r="H420" s="164" t="n"/>
      <c r="I420" s="164" t="n"/>
      <c r="J420" s="164" t="n"/>
    </row>
    <row r="421">
      <c r="A421" s="173" t="n"/>
      <c r="B421" s="164" t="n"/>
      <c r="C421" s="164" t="n"/>
      <c r="D421" s="164" t="n"/>
      <c r="E421" s="164" t="n"/>
      <c r="F421" s="164" t="n"/>
      <c r="G421" s="164" t="n"/>
      <c r="H421" s="164" t="n"/>
      <c r="I421" s="164" t="n"/>
      <c r="J421" s="164" t="n"/>
    </row>
    <row r="422">
      <c r="A422" s="173" t="n"/>
      <c r="B422" s="164" t="n"/>
      <c r="C422" s="164" t="n"/>
      <c r="D422" s="164" t="n"/>
      <c r="E422" s="164" t="n"/>
      <c r="F422" s="164" t="n"/>
      <c r="G422" s="164" t="n"/>
      <c r="H422" s="164" t="n"/>
      <c r="I422" s="164" t="n"/>
      <c r="J422" s="164" t="n"/>
    </row>
    <row r="423">
      <c r="A423" s="173" t="n"/>
      <c r="B423" s="164" t="n"/>
      <c r="C423" s="164" t="n"/>
      <c r="D423" s="164" t="n"/>
      <c r="E423" s="164" t="n"/>
      <c r="F423" s="164" t="n"/>
      <c r="G423" s="164" t="n"/>
      <c r="H423" s="164" t="n"/>
      <c r="I423" s="164" t="n"/>
      <c r="J423" s="164" t="n"/>
    </row>
    <row r="424">
      <c r="A424" s="173" t="n"/>
      <c r="B424" s="164" t="n"/>
      <c r="C424" s="164" t="n"/>
      <c r="D424" s="164" t="n"/>
      <c r="E424" s="164" t="n"/>
      <c r="F424" s="164" t="n"/>
      <c r="G424" s="164" t="n"/>
      <c r="H424" s="164" t="n"/>
      <c r="I424" s="164" t="n"/>
      <c r="J424" s="164" t="n"/>
    </row>
    <row r="425">
      <c r="A425" s="173" t="n"/>
      <c r="B425" s="164" t="n"/>
      <c r="C425" s="164" t="n"/>
      <c r="D425" s="164" t="n"/>
      <c r="E425" s="164" t="n"/>
      <c r="F425" s="164" t="n"/>
      <c r="G425" s="164" t="n"/>
      <c r="H425" s="164" t="n"/>
      <c r="I425" s="164" t="n"/>
      <c r="J425" s="164" t="n"/>
    </row>
    <row r="426">
      <c r="A426" s="173" t="n"/>
      <c r="B426" s="164" t="n"/>
      <c r="C426" s="164" t="n"/>
      <c r="D426" s="164" t="n"/>
      <c r="E426" s="164" t="n"/>
      <c r="F426" s="164" t="n"/>
      <c r="G426" s="164" t="n"/>
      <c r="H426" s="164" t="n"/>
      <c r="I426" s="164" t="n"/>
      <c r="J426" s="164" t="n"/>
    </row>
    <row r="427">
      <c r="A427" s="173" t="n"/>
      <c r="B427" s="164" t="n"/>
      <c r="C427" s="164" t="n"/>
      <c r="D427" s="164" t="n"/>
      <c r="E427" s="164" t="n"/>
      <c r="F427" s="164" t="n"/>
      <c r="G427" s="164" t="n"/>
      <c r="H427" s="164" t="n"/>
      <c r="I427" s="164" t="n"/>
      <c r="J427" s="164" t="n"/>
    </row>
    <row r="428">
      <c r="A428" s="173" t="n"/>
      <c r="B428" s="164" t="n"/>
      <c r="C428" s="164" t="n"/>
      <c r="D428" s="164" t="n"/>
      <c r="E428" s="164" t="n"/>
      <c r="F428" s="164" t="n"/>
      <c r="G428" s="164" t="n"/>
      <c r="H428" s="164" t="n"/>
      <c r="I428" s="164" t="n"/>
      <c r="J428" s="164" t="n"/>
    </row>
    <row r="429">
      <c r="A429" s="173" t="n"/>
      <c r="B429" s="164" t="n"/>
      <c r="C429" s="164" t="n"/>
      <c r="D429" s="164" t="n"/>
      <c r="E429" s="164" t="n"/>
      <c r="F429" s="164" t="n"/>
      <c r="G429" s="164" t="n"/>
      <c r="H429" s="164" t="n"/>
      <c r="I429" s="164" t="n"/>
      <c r="J429" s="164" t="n"/>
    </row>
    <row r="430">
      <c r="A430" s="173" t="n"/>
      <c r="B430" s="164" t="n"/>
      <c r="C430" s="164" t="n"/>
      <c r="D430" s="164" t="n"/>
      <c r="E430" s="164" t="n"/>
      <c r="F430" s="164" t="n"/>
      <c r="G430" s="164" t="n"/>
      <c r="H430" s="164" t="n"/>
      <c r="I430" s="164" t="n"/>
      <c r="J430" s="164" t="n"/>
    </row>
    <row r="431">
      <c r="A431" s="173" t="n"/>
      <c r="B431" s="164" t="n"/>
      <c r="C431" s="164" t="n"/>
      <c r="D431" s="164" t="n"/>
      <c r="E431" s="164" t="n"/>
      <c r="F431" s="164" t="n"/>
      <c r="G431" s="164" t="n"/>
      <c r="H431" s="164" t="n"/>
      <c r="I431" s="164" t="n"/>
      <c r="J431" s="164" t="n"/>
    </row>
    <row r="432">
      <c r="A432" s="173" t="n"/>
      <c r="B432" s="164" t="n"/>
      <c r="C432" s="164" t="n"/>
      <c r="D432" s="164" t="n"/>
      <c r="E432" s="164" t="n"/>
      <c r="F432" s="164" t="n"/>
      <c r="G432" s="164" t="n"/>
      <c r="H432" s="164" t="n"/>
      <c r="I432" s="164" t="n"/>
      <c r="J432" s="164" t="n"/>
    </row>
    <row r="433">
      <c r="A433" s="173" t="n"/>
      <c r="B433" s="164" t="n"/>
      <c r="C433" s="164" t="n"/>
      <c r="D433" s="164" t="n"/>
      <c r="E433" s="164" t="n"/>
      <c r="F433" s="164" t="n"/>
      <c r="G433" s="164" t="n"/>
      <c r="H433" s="164" t="n"/>
      <c r="I433" s="164" t="n"/>
      <c r="J433" s="164" t="n"/>
    </row>
    <row r="434">
      <c r="A434" s="173" t="n"/>
      <c r="B434" s="164" t="n"/>
      <c r="C434" s="164" t="n"/>
      <c r="D434" s="164" t="n"/>
      <c r="E434" s="164" t="n"/>
      <c r="F434" s="164" t="n"/>
      <c r="G434" s="164" t="n"/>
      <c r="H434" s="164" t="n"/>
      <c r="I434" s="164" t="n"/>
      <c r="J434" s="164" t="n"/>
    </row>
    <row r="435">
      <c r="A435" s="173" t="n"/>
      <c r="B435" s="164" t="n"/>
      <c r="C435" s="164" t="n"/>
      <c r="D435" s="164" t="n"/>
      <c r="E435" s="164" t="n"/>
      <c r="F435" s="164" t="n"/>
      <c r="G435" s="164" t="n"/>
      <c r="H435" s="164" t="n"/>
      <c r="I435" s="164" t="n"/>
      <c r="J435" s="164" t="n"/>
    </row>
    <row r="436">
      <c r="A436" s="173" t="n"/>
      <c r="B436" s="164" t="n"/>
      <c r="C436" s="164" t="n"/>
      <c r="D436" s="164" t="n"/>
      <c r="E436" s="164" t="n"/>
      <c r="F436" s="164" t="n"/>
      <c r="G436" s="164" t="n"/>
      <c r="H436" s="164" t="n"/>
      <c r="I436" s="164" t="n"/>
      <c r="J436" s="164" t="n"/>
    </row>
    <row r="437">
      <c r="A437" s="173" t="n"/>
      <c r="B437" s="164" t="n"/>
      <c r="C437" s="164" t="n"/>
      <c r="D437" s="164" t="n"/>
      <c r="E437" s="164" t="n"/>
      <c r="F437" s="164" t="n"/>
      <c r="G437" s="164" t="n"/>
      <c r="H437" s="164" t="n"/>
      <c r="I437" s="164" t="n"/>
      <c r="J437" s="164" t="n"/>
    </row>
    <row r="438">
      <c r="A438" s="173" t="n"/>
      <c r="B438" s="164" t="n"/>
      <c r="C438" s="164" t="n"/>
      <c r="D438" s="164" t="n"/>
      <c r="E438" s="164" t="n"/>
      <c r="F438" s="164" t="n"/>
      <c r="G438" s="164" t="n"/>
      <c r="H438" s="164" t="n"/>
      <c r="I438" s="164" t="n"/>
      <c r="J438" s="164" t="n"/>
    </row>
    <row r="439">
      <c r="A439" s="173" t="n"/>
      <c r="B439" s="164" t="n"/>
      <c r="C439" s="164" t="n"/>
      <c r="D439" s="164" t="n"/>
      <c r="E439" s="164" t="n"/>
      <c r="F439" s="164" t="n"/>
      <c r="G439" s="164" t="n"/>
      <c r="H439" s="164" t="n"/>
      <c r="I439" s="164" t="n"/>
      <c r="J439" s="164" t="n"/>
    </row>
    <row r="440">
      <c r="A440" s="173" t="n"/>
      <c r="B440" s="164" t="n"/>
      <c r="C440" s="164" t="n"/>
      <c r="D440" s="164" t="n"/>
      <c r="E440" s="164" t="n"/>
      <c r="F440" s="164" t="n"/>
      <c r="G440" s="164" t="n"/>
      <c r="H440" s="164" t="n"/>
      <c r="I440" s="164" t="n"/>
      <c r="J440" s="164" t="n"/>
    </row>
    <row r="441">
      <c r="A441" s="173" t="n"/>
      <c r="B441" s="164" t="n"/>
      <c r="C441" s="164" t="n"/>
      <c r="D441" s="164" t="n"/>
      <c r="E441" s="164" t="n"/>
      <c r="F441" s="164" t="n"/>
      <c r="G441" s="164" t="n"/>
      <c r="H441" s="164" t="n"/>
      <c r="I441" s="164" t="n"/>
      <c r="J441" s="164" t="n"/>
    </row>
    <row r="442">
      <c r="A442" s="173" t="n"/>
      <c r="B442" s="164" t="n"/>
      <c r="C442" s="164" t="n"/>
      <c r="D442" s="164" t="n"/>
      <c r="E442" s="164" t="n"/>
      <c r="F442" s="164" t="n"/>
      <c r="G442" s="164" t="n"/>
      <c r="H442" s="164" t="n"/>
      <c r="I442" s="164" t="n"/>
      <c r="J442" s="164" t="n"/>
    </row>
    <row r="443">
      <c r="A443" s="173" t="n"/>
      <c r="B443" s="164" t="n"/>
      <c r="C443" s="164" t="n"/>
      <c r="D443" s="164" t="n"/>
      <c r="E443" s="164" t="n"/>
      <c r="F443" s="164" t="n"/>
      <c r="G443" s="164" t="n"/>
      <c r="H443" s="164" t="n"/>
      <c r="I443" s="164" t="n"/>
      <c r="J443" s="164" t="n"/>
    </row>
    <row r="444">
      <c r="A444" s="173" t="n"/>
      <c r="B444" s="164" t="n"/>
      <c r="C444" s="164" t="n"/>
      <c r="D444" s="164" t="n"/>
      <c r="E444" s="164" t="n"/>
      <c r="F444" s="164" t="n"/>
      <c r="G444" s="164" t="n"/>
      <c r="H444" s="164" t="n"/>
      <c r="I444" s="164" t="n"/>
      <c r="J444" s="164" t="n"/>
    </row>
    <row r="445">
      <c r="A445" s="173" t="n"/>
      <c r="B445" s="164" t="n"/>
      <c r="C445" s="164" t="n"/>
      <c r="D445" s="164" t="n"/>
      <c r="E445" s="164" t="n"/>
      <c r="F445" s="164" t="n"/>
      <c r="G445" s="164" t="n"/>
      <c r="H445" s="164" t="n"/>
      <c r="I445" s="164" t="n"/>
      <c r="J445" s="164" t="n"/>
    </row>
    <row r="446">
      <c r="A446" s="173" t="n"/>
      <c r="B446" s="164" t="n"/>
      <c r="C446" s="164" t="n"/>
      <c r="D446" s="164" t="n"/>
      <c r="E446" s="164" t="n"/>
      <c r="F446" s="164" t="n"/>
      <c r="G446" s="164" t="n"/>
      <c r="H446" s="164" t="n"/>
      <c r="I446" s="164" t="n"/>
      <c r="J446" s="164" t="n"/>
    </row>
    <row r="447">
      <c r="A447" s="173" t="n"/>
      <c r="B447" s="164" t="n"/>
      <c r="C447" s="164" t="n"/>
      <c r="D447" s="164" t="n"/>
      <c r="E447" s="164" t="n"/>
      <c r="F447" s="164" t="n"/>
      <c r="G447" s="164" t="n"/>
      <c r="H447" s="164" t="n"/>
      <c r="I447" s="164" t="n"/>
      <c r="J447" s="164" t="n"/>
    </row>
    <row r="448">
      <c r="A448" s="173" t="n"/>
      <c r="B448" s="164" t="n"/>
      <c r="C448" s="164" t="n"/>
      <c r="D448" s="164" t="n"/>
      <c r="E448" s="164" t="n"/>
      <c r="F448" s="164" t="n"/>
      <c r="G448" s="164" t="n"/>
      <c r="H448" s="164" t="n"/>
      <c r="I448" s="164" t="n"/>
      <c r="J448" s="164" t="n"/>
    </row>
    <row r="449">
      <c r="A449" s="173" t="n"/>
      <c r="B449" s="164" t="n"/>
      <c r="C449" s="164" t="n"/>
      <c r="D449" s="164" t="n"/>
      <c r="E449" s="164" t="n"/>
      <c r="F449" s="164" t="n"/>
      <c r="G449" s="164" t="n"/>
      <c r="H449" s="164" t="n"/>
      <c r="I449" s="164" t="n"/>
      <c r="J449" s="164" t="n"/>
    </row>
    <row r="450">
      <c r="A450" s="173" t="n"/>
      <c r="B450" s="164" t="n"/>
      <c r="C450" s="164" t="n"/>
      <c r="D450" s="164" t="n"/>
      <c r="E450" s="164" t="n"/>
      <c r="F450" s="164" t="n"/>
      <c r="G450" s="164" t="n"/>
      <c r="H450" s="164" t="n"/>
      <c r="I450" s="164" t="n"/>
      <c r="J450" s="164" t="n"/>
    </row>
    <row r="451">
      <c r="A451" s="173" t="n"/>
      <c r="B451" s="164" t="n"/>
      <c r="C451" s="164" t="n"/>
      <c r="D451" s="164" t="n"/>
      <c r="E451" s="164" t="n"/>
      <c r="F451" s="164" t="n"/>
      <c r="G451" s="164" t="n"/>
      <c r="H451" s="164" t="n"/>
      <c r="I451" s="164" t="n"/>
      <c r="J451" s="164" t="n"/>
    </row>
    <row r="452">
      <c r="A452" s="173" t="n"/>
      <c r="B452" s="164" t="n"/>
      <c r="C452" s="164" t="n"/>
      <c r="D452" s="164" t="n"/>
      <c r="E452" s="164" t="n"/>
      <c r="F452" s="164" t="n"/>
      <c r="G452" s="164" t="n"/>
      <c r="H452" s="164" t="n"/>
      <c r="I452" s="164" t="n"/>
      <c r="J452" s="164" t="n"/>
    </row>
    <row r="453">
      <c r="A453" s="173" t="n"/>
      <c r="B453" s="164" t="n"/>
      <c r="C453" s="164" t="n"/>
      <c r="D453" s="164" t="n"/>
      <c r="E453" s="164" t="n"/>
      <c r="F453" s="164" t="n"/>
      <c r="G453" s="164" t="n"/>
      <c r="H453" s="164" t="n"/>
      <c r="I453" s="164" t="n"/>
      <c r="J453" s="164" t="n"/>
    </row>
    <row r="454">
      <c r="A454" s="173" t="n"/>
      <c r="B454" s="164" t="n"/>
      <c r="C454" s="164" t="n"/>
      <c r="D454" s="164" t="n"/>
      <c r="E454" s="164" t="n"/>
      <c r="F454" s="164" t="n"/>
      <c r="G454" s="164" t="n"/>
      <c r="H454" s="164" t="n"/>
      <c r="I454" s="164" t="n"/>
      <c r="J454" s="164" t="n"/>
    </row>
    <row r="455">
      <c r="A455" s="173" t="n"/>
      <c r="B455" s="164" t="n"/>
      <c r="C455" s="164" t="n"/>
      <c r="D455" s="164" t="n"/>
      <c r="E455" s="164" t="n"/>
      <c r="F455" s="164" t="n"/>
      <c r="G455" s="164" t="n"/>
      <c r="H455" s="164" t="n"/>
      <c r="I455" s="164" t="n"/>
      <c r="J455" s="164" t="n"/>
    </row>
    <row r="456">
      <c r="A456" s="173" t="n"/>
      <c r="B456" s="164" t="n"/>
      <c r="C456" s="164" t="n"/>
      <c r="D456" s="164" t="n"/>
      <c r="E456" s="164" t="n"/>
      <c r="F456" s="164" t="n"/>
      <c r="G456" s="164" t="n"/>
      <c r="H456" s="164" t="n"/>
      <c r="I456" s="164" t="n"/>
      <c r="J456" s="164" t="n"/>
    </row>
    <row r="457">
      <c r="A457" s="173" t="n"/>
      <c r="B457" s="164" t="n"/>
      <c r="C457" s="164" t="n"/>
      <c r="D457" s="164" t="n"/>
      <c r="E457" s="164" t="n"/>
      <c r="F457" s="164" t="n"/>
      <c r="G457" s="164" t="n"/>
      <c r="H457" s="164" t="n"/>
      <c r="I457" s="164" t="n"/>
      <c r="J457" s="164" t="n"/>
    </row>
    <row r="458">
      <c r="A458" s="173" t="n"/>
      <c r="B458" s="164" t="n"/>
      <c r="C458" s="164" t="n"/>
      <c r="D458" s="164" t="n"/>
      <c r="E458" s="164" t="n"/>
      <c r="F458" s="164" t="n"/>
      <c r="G458" s="164" t="n"/>
      <c r="H458" s="164" t="n"/>
      <c r="I458" s="164" t="n"/>
      <c r="J458" s="164" t="n"/>
    </row>
    <row r="459">
      <c r="A459" s="173" t="n"/>
      <c r="B459" s="164" t="n"/>
      <c r="C459" s="164" t="n"/>
      <c r="D459" s="164" t="n"/>
      <c r="E459" s="164" t="n"/>
      <c r="F459" s="164" t="n"/>
      <c r="G459" s="164" t="n"/>
      <c r="H459" s="164" t="n"/>
      <c r="I459" s="164" t="n"/>
      <c r="J459" s="164" t="n"/>
    </row>
    <row r="460">
      <c r="A460" s="173" t="n"/>
      <c r="B460" s="164" t="n"/>
      <c r="C460" s="164" t="n"/>
      <c r="D460" s="164" t="n"/>
      <c r="E460" s="164" t="n"/>
      <c r="F460" s="164" t="n"/>
      <c r="G460" s="164" t="n"/>
      <c r="H460" s="164" t="n"/>
      <c r="I460" s="164" t="n"/>
      <c r="J460" s="164" t="n"/>
    </row>
    <row r="461">
      <c r="A461" s="173" t="n"/>
      <c r="B461" s="164" t="n"/>
      <c r="C461" s="164" t="n"/>
      <c r="D461" s="164" t="n"/>
      <c r="E461" s="164" t="n"/>
      <c r="F461" s="164" t="n"/>
      <c r="G461" s="164" t="n"/>
      <c r="H461" s="164" t="n"/>
      <c r="I461" s="164" t="n"/>
      <c r="J461" s="164" t="n"/>
    </row>
    <row r="462">
      <c r="A462" s="173" t="n"/>
      <c r="B462" s="164" t="n"/>
      <c r="C462" s="164" t="n"/>
      <c r="D462" s="164" t="n"/>
      <c r="E462" s="164" t="n"/>
      <c r="F462" s="164" t="n"/>
      <c r="G462" s="164" t="n"/>
      <c r="H462" s="164" t="n"/>
      <c r="I462" s="164" t="n"/>
      <c r="J462" s="164" t="n"/>
    </row>
    <row r="463">
      <c r="A463" s="173" t="n"/>
      <c r="B463" s="164" t="n"/>
      <c r="C463" s="164" t="n"/>
      <c r="D463" s="164" t="n"/>
      <c r="E463" s="164" t="n"/>
      <c r="F463" s="164" t="n"/>
      <c r="G463" s="164" t="n"/>
      <c r="H463" s="164" t="n"/>
      <c r="I463" s="164" t="n"/>
      <c r="J463" s="164" t="n"/>
    </row>
    <row r="464">
      <c r="A464" s="173" t="n"/>
      <c r="B464" s="164" t="n"/>
      <c r="C464" s="164" t="n"/>
      <c r="D464" s="164" t="n"/>
      <c r="E464" s="164" t="n"/>
      <c r="F464" s="164" t="n"/>
      <c r="G464" s="164" t="n"/>
      <c r="H464" s="164" t="n"/>
      <c r="I464" s="164" t="n"/>
      <c r="J464" s="164" t="n"/>
    </row>
    <row r="465">
      <c r="A465" s="173" t="n"/>
      <c r="B465" s="164" t="n"/>
      <c r="C465" s="164" t="n"/>
      <c r="D465" s="164" t="n"/>
      <c r="E465" s="164" t="n"/>
      <c r="F465" s="164" t="n"/>
      <c r="G465" s="164" t="n"/>
      <c r="H465" s="164" t="n"/>
      <c r="I465" s="164" t="n"/>
      <c r="J465" s="164" t="n"/>
    </row>
    <row r="466">
      <c r="A466" s="173" t="n"/>
      <c r="B466" s="164" t="n"/>
      <c r="C466" s="164" t="n"/>
      <c r="D466" s="164" t="n"/>
      <c r="E466" s="164" t="n"/>
      <c r="F466" s="164" t="n"/>
      <c r="G466" s="164" t="n"/>
      <c r="H466" s="164" t="n"/>
      <c r="I466" s="164" t="n"/>
      <c r="J466" s="164" t="n"/>
    </row>
    <row r="467">
      <c r="A467" s="173" t="n"/>
      <c r="B467" s="164" t="n"/>
      <c r="C467" s="164" t="n"/>
      <c r="D467" s="164" t="n"/>
      <c r="E467" s="164" t="n"/>
      <c r="F467" s="164" t="n"/>
      <c r="G467" s="164" t="n"/>
      <c r="H467" s="164" t="n"/>
      <c r="I467" s="164" t="n"/>
      <c r="J467" s="164" t="n"/>
    </row>
    <row r="468">
      <c r="A468" s="173" t="n"/>
      <c r="B468" s="164" t="n"/>
      <c r="C468" s="164" t="n"/>
      <c r="D468" s="164" t="n"/>
      <c r="E468" s="164" t="n"/>
      <c r="F468" s="164" t="n"/>
      <c r="G468" s="164" t="n"/>
      <c r="H468" s="164" t="n"/>
      <c r="I468" s="164" t="n"/>
      <c r="J468" s="164" t="n"/>
    </row>
    <row r="469">
      <c r="A469" s="173" t="n"/>
      <c r="B469" s="164" t="n"/>
      <c r="C469" s="164" t="n"/>
      <c r="D469" s="164" t="n"/>
      <c r="E469" s="164" t="n"/>
      <c r="F469" s="164" t="n"/>
      <c r="G469" s="164" t="n"/>
      <c r="H469" s="164" t="n"/>
      <c r="I469" s="164" t="n"/>
      <c r="J469" s="164" t="n"/>
    </row>
    <row r="470">
      <c r="A470" s="173" t="n"/>
      <c r="B470" s="164" t="n"/>
      <c r="C470" s="164" t="n"/>
      <c r="D470" s="164" t="n"/>
      <c r="E470" s="164" t="n"/>
      <c r="F470" s="164" t="n"/>
      <c r="G470" s="164" t="n"/>
      <c r="H470" s="164" t="n"/>
      <c r="I470" s="164" t="n"/>
      <c r="J470" s="164" t="n"/>
    </row>
    <row r="471">
      <c r="A471" s="173" t="n"/>
      <c r="B471" s="164" t="n"/>
      <c r="C471" s="164" t="n"/>
      <c r="D471" s="164" t="n"/>
      <c r="E471" s="164" t="n"/>
      <c r="F471" s="164" t="n"/>
      <c r="G471" s="164" t="n"/>
      <c r="H471" s="164" t="n"/>
      <c r="I471" s="164" t="n"/>
      <c r="J471" s="164" t="n"/>
    </row>
    <row r="472">
      <c r="A472" s="173" t="n"/>
      <c r="B472" s="164" t="n"/>
      <c r="C472" s="164" t="n"/>
      <c r="D472" s="164" t="n"/>
      <c r="E472" s="164" t="n"/>
      <c r="F472" s="164" t="n"/>
      <c r="G472" s="164" t="n"/>
      <c r="H472" s="164" t="n"/>
      <c r="I472" s="164" t="n"/>
      <c r="J472" s="164" t="n"/>
    </row>
    <row r="473">
      <c r="A473" s="173" t="n"/>
      <c r="B473" s="164" t="n"/>
      <c r="C473" s="164" t="n"/>
      <c r="D473" s="164" t="n"/>
      <c r="E473" s="164" t="n"/>
      <c r="F473" s="164" t="n"/>
      <c r="G473" s="164" t="n"/>
      <c r="H473" s="164" t="n"/>
      <c r="I473" s="164" t="n"/>
      <c r="J473" s="164" t="n"/>
    </row>
    <row r="474">
      <c r="A474" s="173" t="n"/>
      <c r="B474" s="164" t="n"/>
      <c r="C474" s="164" t="n"/>
      <c r="D474" s="164" t="n"/>
      <c r="E474" s="164" t="n"/>
      <c r="F474" s="164" t="n"/>
      <c r="G474" s="164" t="n"/>
      <c r="H474" s="164" t="n"/>
      <c r="I474" s="164" t="n"/>
      <c r="J474" s="164" t="n"/>
    </row>
    <row r="475">
      <c r="A475" s="173" t="n"/>
      <c r="B475" s="164" t="n"/>
      <c r="C475" s="164" t="n"/>
      <c r="D475" s="164" t="n"/>
      <c r="E475" s="164" t="n"/>
      <c r="F475" s="164" t="n"/>
      <c r="G475" s="164" t="n"/>
      <c r="H475" s="164" t="n"/>
      <c r="I475" s="164" t="n"/>
      <c r="J475" s="164" t="n"/>
    </row>
    <row r="476">
      <c r="A476" s="173" t="n"/>
      <c r="B476" s="164" t="n"/>
      <c r="C476" s="164" t="n"/>
      <c r="D476" s="164" t="n"/>
      <c r="E476" s="164" t="n"/>
      <c r="F476" s="164" t="n"/>
      <c r="G476" s="164" t="n"/>
      <c r="H476" s="164" t="n"/>
      <c r="I476" s="164" t="n"/>
      <c r="J476" s="164" t="n"/>
    </row>
    <row r="477">
      <c r="A477" s="173" t="n"/>
      <c r="B477" s="164" t="n"/>
      <c r="C477" s="164" t="n"/>
      <c r="D477" s="164" t="n"/>
      <c r="E477" s="164" t="n"/>
      <c r="F477" s="164" t="n"/>
      <c r="G477" s="164" t="n"/>
      <c r="H477" s="164" t="n"/>
      <c r="I477" s="164" t="n"/>
      <c r="J477" s="164" t="n"/>
    </row>
    <row r="478">
      <c r="A478" s="173" t="n"/>
      <c r="B478" s="164" t="n"/>
      <c r="C478" s="164" t="n"/>
      <c r="D478" s="164" t="n"/>
      <c r="E478" s="164" t="n"/>
      <c r="F478" s="164" t="n"/>
      <c r="G478" s="164" t="n"/>
      <c r="H478" s="164" t="n"/>
      <c r="I478" s="164" t="n"/>
      <c r="J478" s="164" t="n"/>
    </row>
    <row r="479">
      <c r="A479" s="173" t="n"/>
      <c r="B479" s="164" t="n"/>
      <c r="C479" s="164" t="n"/>
      <c r="D479" s="164" t="n"/>
      <c r="E479" s="164" t="n"/>
      <c r="F479" s="164" t="n"/>
      <c r="G479" s="164" t="n"/>
      <c r="H479" s="164" t="n"/>
      <c r="I479" s="164" t="n"/>
      <c r="J479" s="164" t="n"/>
    </row>
    <row r="480">
      <c r="A480" s="173" t="n"/>
      <c r="B480" s="164" t="n"/>
      <c r="C480" s="164" t="n"/>
      <c r="D480" s="164" t="n"/>
      <c r="E480" s="164" t="n"/>
      <c r="F480" s="164" t="n"/>
      <c r="G480" s="164" t="n"/>
      <c r="H480" s="164" t="n"/>
      <c r="I480" s="164" t="n"/>
      <c r="J480" s="164" t="n"/>
    </row>
    <row r="481">
      <c r="A481" s="173" t="n"/>
      <c r="B481" s="164" t="n"/>
      <c r="C481" s="164" t="n"/>
      <c r="D481" s="164" t="n"/>
      <c r="E481" s="164" t="n"/>
      <c r="F481" s="164" t="n"/>
      <c r="G481" s="164" t="n"/>
      <c r="H481" s="164" t="n"/>
      <c r="I481" s="164" t="n"/>
      <c r="J481" s="164" t="n"/>
    </row>
    <row r="482">
      <c r="A482" s="173" t="n"/>
      <c r="B482" s="164" t="n"/>
      <c r="C482" s="164" t="n"/>
      <c r="D482" s="164" t="n"/>
      <c r="E482" s="164" t="n"/>
      <c r="F482" s="164" t="n"/>
      <c r="G482" s="164" t="n"/>
      <c r="H482" s="164" t="n"/>
      <c r="I482" s="164" t="n"/>
      <c r="J482" s="164" t="n"/>
    </row>
    <row r="483">
      <c r="A483" s="173" t="n"/>
      <c r="B483" s="164" t="n"/>
      <c r="C483" s="164" t="n"/>
      <c r="D483" s="164" t="n"/>
      <c r="E483" s="164" t="n"/>
      <c r="F483" s="164" t="n"/>
      <c r="G483" s="164" t="n"/>
      <c r="H483" s="164" t="n"/>
      <c r="I483" s="164" t="n"/>
      <c r="J483" s="164" t="n"/>
    </row>
    <row r="484">
      <c r="A484" s="173" t="n"/>
      <c r="B484" s="164" t="n"/>
      <c r="C484" s="164" t="n"/>
      <c r="D484" s="164" t="n"/>
      <c r="E484" s="164" t="n"/>
      <c r="F484" s="164" t="n"/>
      <c r="G484" s="164" t="n"/>
      <c r="H484" s="164" t="n"/>
      <c r="I484" s="164" t="n"/>
      <c r="J484" s="164" t="n"/>
    </row>
    <row r="485">
      <c r="A485" s="173" t="n"/>
      <c r="B485" s="164" t="n"/>
      <c r="C485" s="164" t="n"/>
      <c r="D485" s="164" t="n"/>
      <c r="E485" s="164" t="n"/>
      <c r="F485" s="164" t="n"/>
      <c r="G485" s="164" t="n"/>
      <c r="H485" s="164" t="n"/>
      <c r="I485" s="164" t="n"/>
      <c r="J485" s="164" t="n"/>
    </row>
    <row r="486">
      <c r="A486" s="173" t="n"/>
      <c r="B486" s="164" t="n"/>
      <c r="C486" s="164" t="n"/>
      <c r="D486" s="164" t="n"/>
      <c r="E486" s="164" t="n"/>
      <c r="F486" s="164" t="n"/>
      <c r="G486" s="164" t="n"/>
      <c r="H486" s="164" t="n"/>
      <c r="I486" s="164" t="n"/>
      <c r="J486" s="164" t="n"/>
    </row>
    <row r="487">
      <c r="A487" s="173" t="n"/>
      <c r="B487" s="164" t="n"/>
      <c r="C487" s="164" t="n"/>
      <c r="D487" s="164" t="n"/>
      <c r="E487" s="164" t="n"/>
      <c r="F487" s="164" t="n"/>
      <c r="G487" s="164" t="n"/>
      <c r="H487" s="164" t="n"/>
      <c r="I487" s="164" t="n"/>
      <c r="J487" s="164" t="n"/>
    </row>
    <row r="488">
      <c r="A488" s="173" t="n"/>
      <c r="B488" s="164" t="n"/>
      <c r="C488" s="164" t="n"/>
      <c r="D488" s="164" t="n"/>
      <c r="E488" s="164" t="n"/>
      <c r="F488" s="164" t="n"/>
      <c r="G488" s="164" t="n"/>
      <c r="H488" s="164" t="n"/>
      <c r="I488" s="164" t="n"/>
      <c r="J488" s="164" t="n"/>
    </row>
    <row r="489">
      <c r="A489" s="173" t="n"/>
      <c r="B489" s="164" t="n"/>
      <c r="C489" s="164" t="n"/>
      <c r="D489" s="164" t="n"/>
      <c r="E489" s="164" t="n"/>
      <c r="F489" s="164" t="n"/>
      <c r="G489" s="164" t="n"/>
      <c r="H489" s="164" t="n"/>
      <c r="I489" s="164" t="n"/>
      <c r="J489" s="164" t="n"/>
    </row>
    <row r="490">
      <c r="A490" s="173" t="n"/>
      <c r="B490" s="164" t="n"/>
      <c r="C490" s="164" t="n"/>
      <c r="D490" s="164" t="n"/>
      <c r="E490" s="164" t="n"/>
      <c r="F490" s="164" t="n"/>
      <c r="G490" s="164" t="n"/>
      <c r="H490" s="164" t="n"/>
      <c r="I490" s="164" t="n"/>
      <c r="J490" s="164" t="n"/>
    </row>
    <row r="491">
      <c r="A491" s="173" t="n"/>
      <c r="B491" s="164" t="n"/>
      <c r="C491" s="164" t="n"/>
      <c r="D491" s="164" t="n"/>
      <c r="E491" s="164" t="n"/>
      <c r="F491" s="164" t="n"/>
      <c r="G491" s="164" t="n"/>
      <c r="H491" s="164" t="n"/>
      <c r="I491" s="164" t="n"/>
      <c r="J491" s="164" t="n"/>
    </row>
    <row r="492">
      <c r="A492" s="173" t="n"/>
      <c r="B492" s="164" t="n"/>
      <c r="C492" s="164" t="n"/>
      <c r="D492" s="164" t="n"/>
      <c r="E492" s="164" t="n"/>
      <c r="F492" s="164" t="n"/>
      <c r="G492" s="164" t="n"/>
      <c r="H492" s="164" t="n"/>
      <c r="I492" s="164" t="n"/>
      <c r="J492" s="164" t="n"/>
    </row>
    <row r="493">
      <c r="A493" s="173" t="n"/>
      <c r="B493" s="164" t="n"/>
      <c r="C493" s="164" t="n"/>
      <c r="D493" s="164" t="n"/>
      <c r="E493" s="164" t="n"/>
      <c r="F493" s="164" t="n"/>
      <c r="G493" s="164" t="n"/>
      <c r="H493" s="164" t="n"/>
      <c r="I493" s="164" t="n"/>
      <c r="J493" s="164" t="n"/>
    </row>
    <row r="494">
      <c r="A494" s="173" t="n"/>
      <c r="B494" s="164" t="n"/>
      <c r="C494" s="164" t="n"/>
      <c r="D494" s="164" t="n"/>
      <c r="E494" s="164" t="n"/>
      <c r="F494" s="164" t="n"/>
      <c r="G494" s="164" t="n"/>
      <c r="H494" s="164" t="n"/>
      <c r="I494" s="164" t="n"/>
      <c r="J494" s="164" t="n"/>
    </row>
    <row r="495">
      <c r="A495" s="173" t="n"/>
      <c r="B495" s="164" t="n"/>
      <c r="C495" s="164" t="n"/>
      <c r="D495" s="164" t="n"/>
      <c r="E495" s="164" t="n"/>
      <c r="F495" s="164" t="n"/>
      <c r="G495" s="164" t="n"/>
      <c r="H495" s="164" t="n"/>
      <c r="I495" s="164" t="n"/>
      <c r="J495" s="164" t="n"/>
    </row>
    <row r="496">
      <c r="A496" s="173" t="n"/>
      <c r="B496" s="164" t="n"/>
      <c r="C496" s="164" t="n"/>
      <c r="D496" s="164" t="n"/>
      <c r="E496" s="164" t="n"/>
      <c r="F496" s="164" t="n"/>
      <c r="G496" s="164" t="n"/>
      <c r="H496" s="164" t="n"/>
      <c r="I496" s="164" t="n"/>
      <c r="J496" s="164" t="n"/>
    </row>
    <row r="497">
      <c r="A497" s="173" t="n"/>
      <c r="B497" s="164" t="n"/>
      <c r="C497" s="164" t="n"/>
      <c r="D497" s="164" t="n"/>
      <c r="E497" s="164" t="n"/>
      <c r="F497" s="164" t="n"/>
      <c r="G497" s="164" t="n"/>
      <c r="H497" s="164" t="n"/>
      <c r="I497" s="164" t="n"/>
      <c r="J497" s="164" t="n"/>
    </row>
    <row r="498">
      <c r="A498" s="173" t="n"/>
      <c r="B498" s="164" t="n"/>
      <c r="C498" s="164" t="n"/>
      <c r="D498" s="164" t="n"/>
      <c r="E498" s="164" t="n"/>
      <c r="F498" s="164" t="n"/>
      <c r="G498" s="164" t="n"/>
      <c r="H498" s="164" t="n"/>
      <c r="I498" s="164" t="n"/>
      <c r="J498" s="164" t="n"/>
    </row>
    <row r="499">
      <c r="A499" s="173" t="n"/>
      <c r="B499" s="164" t="n"/>
      <c r="C499" s="164" t="n"/>
      <c r="D499" s="164" t="n"/>
      <c r="E499" s="164" t="n"/>
      <c r="F499" s="164" t="n"/>
      <c r="G499" s="164" t="n"/>
      <c r="H499" s="164" t="n"/>
      <c r="I499" s="164" t="n"/>
      <c r="J499" s="164" t="n"/>
    </row>
    <row r="500">
      <c r="A500" s="173" t="n"/>
      <c r="B500" s="164" t="n"/>
      <c r="C500" s="164" t="n"/>
      <c r="D500" s="164" t="n"/>
      <c r="E500" s="164" t="n"/>
      <c r="F500" s="164" t="n"/>
      <c r="G500" s="164" t="n"/>
      <c r="H500" s="164" t="n"/>
      <c r="I500" s="164" t="n"/>
      <c r="J500" s="164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/>
  <autoFilter ref="A3:J500"/>
  <mergeCells count="1">
    <mergeCell ref="A1:J1"/>
  </mergeCells>
  <pageMargins left="0.3" right="0.3" top="0.4" bottom="0.4" header="0.3" footer="0.3"/>
  <pageSetup orientation="landscape" paperSize="9" fitToHeight="0" fitToWidth="1"/>
  <headerFooter>
    <oddHeader/>
    <oddFooter>&amp;L&amp;8 KATANGA TECHCARE&amp;R&amp;8 Page &amp;P /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FFD71920"/>
    <outlinePr summaryBelow="1" summaryRight="1"/>
    <pageSetUpPr fitToPage="1"/>
  </sheetPr>
  <dimension ref="A1:H8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6" customHeight="1">
      <c r="A1" s="9" t="inlineStr">
        <is>
          <t>KATANGA TECHCARE — TABLEAU DE BORD</t>
        </is>
      </c>
      <c r="B1" s="1" t="n"/>
      <c r="C1" s="1" t="n"/>
      <c r="D1" s="1" t="n"/>
      <c r="E1" s="1" t="n"/>
      <c r="F1" s="1" t="n"/>
      <c r="G1" s="1" t="n"/>
      <c r="H1" s="1" t="n"/>
    </row>
    <row r="3" ht="24" customHeight="1">
      <c r="A3" s="14" t="inlineStr">
        <is>
          <t>Indicateur</t>
        </is>
      </c>
      <c r="B3" s="14" t="inlineStr">
        <is>
          <t>Valeur</t>
        </is>
      </c>
      <c r="C3" s="14" t="str"/>
      <c r="D3" s="14" t="inlineStr">
        <is>
          <t>Indicateur</t>
        </is>
      </c>
      <c r="E3" s="14" t="inlineStr">
        <is>
          <t>Valeur</t>
        </is>
      </c>
      <c r="F3" s="14" t="str"/>
      <c r="G3" s="14" t="inlineStr">
        <is>
          <t>Indicateur</t>
        </is>
      </c>
      <c r="H3" s="14" t="inlineStr">
        <is>
          <t>Valeur</t>
        </is>
      </c>
    </row>
    <row r="4">
      <c r="A4" s="31" t="inlineStr">
        <is>
          <t>Factures validées</t>
        </is>
      </c>
      <c r="B4" s="31">
        <f>COUNTIFS('HISTORIQUE DOCS'!C4:C1000,"FACTURE",'HISTORIQUE DOCS'!P4:P1000,"VALIDÉ")</f>
        <v/>
      </c>
      <c r="D4" s="31" t="inlineStr">
        <is>
          <t>Clients</t>
        </is>
      </c>
      <c r="E4" s="31">
        <f>COUNTA('BASE CLIENTS'!A4:A500)</f>
        <v/>
      </c>
      <c r="G4" s="31" t="inlineStr">
        <is>
          <t>Créances</t>
        </is>
      </c>
      <c r="H4" s="165" t="n">
        <v>0</v>
      </c>
    </row>
    <row r="5">
      <c r="A5" s="31" t="inlineStr">
        <is>
          <t>Proformas</t>
        </is>
      </c>
      <c r="B5" s="31">
        <f>COUNTIF('HISTORIQUE DOCS'!C4:C1000,"PROFORMA")</f>
        <v/>
      </c>
      <c r="D5" s="31" t="inlineStr">
        <is>
          <t>Articles actifs</t>
        </is>
      </c>
      <c r="E5" s="31">
        <f>COUNTA('BASE ARTICLES'!A4:A500)</f>
        <v/>
      </c>
      <c r="G5" s="31" t="inlineStr">
        <is>
          <t>Dépenses</t>
        </is>
      </c>
      <c r="H5" s="165" t="n">
        <v>0</v>
      </c>
    </row>
    <row r="6">
      <c r="A6" s="31" t="inlineStr">
        <is>
          <t>CA facturé</t>
        </is>
      </c>
      <c r="B6" s="174">
        <f>SUMIFS('HISTORIQUE DOCS'!O4:O1000,'HISTORIQUE DOCS'!C4:C1000,"FACTURE",'HISTORIQUE DOCS'!P4:P1000,"VALIDÉ")</f>
        <v/>
      </c>
      <c r="D6" s="31" t="inlineStr">
        <is>
          <t>Stock total</t>
        </is>
      </c>
      <c r="E6" s="31">
        <f>SUM('BASE ARTICLES'!M4:M500)</f>
        <v/>
      </c>
      <c r="G6" s="31" t="inlineStr">
        <is>
          <t>Charges</t>
        </is>
      </c>
      <c r="H6" s="165" t="n">
        <v>0</v>
      </c>
    </row>
    <row r="7">
      <c r="A7" s="31" t="inlineStr">
        <is>
          <t>Marge commerciale</t>
        </is>
      </c>
      <c r="B7" s="174">
        <f>SUMIFS('HISTORIQUE DOCS'!N4:N1000,'HISTORIQUE DOCS'!C4:C1000,"FACTURE",'HISTORIQUE DOCS'!P4:P1000,"VALIDÉ")</f>
        <v/>
      </c>
      <c r="D7" s="31" t="inlineStr">
        <is>
          <t>Valeur stock coût</t>
        </is>
      </c>
      <c r="E7" s="174">
        <f>SUMPRODUCT('BASE ARTICLES'!M4:M500,'BASE ARTICLES'!H4:H500)</f>
        <v/>
      </c>
      <c r="G7" s="31" t="inlineStr">
        <is>
          <t>Résultat net</t>
        </is>
      </c>
      <c r="H7" s="165" t="n">
        <v>0</v>
      </c>
    </row>
    <row r="8">
      <c r="A8" s="31" t="inlineStr">
        <is>
          <t>Articles en alerte</t>
        </is>
      </c>
      <c r="B8" s="31">
        <f>SUMPRODUCT(--('BASE ARTICLES'!A4:A500&lt;&gt;""),--('BASE ARTICLES'!M4:M500&lt;='BASE ARTICLES'!N4:N500))</f>
        <v/>
      </c>
      <c r="D8" s="31" t="inlineStr">
        <is>
          <t>Ventes du mois</t>
        </is>
      </c>
      <c r="E8" s="31">
        <f>COUNTIFS('HISTORIQUE DOCS'!A4:A1000,"&gt;="&amp;DATE(YEAR(TODAY()),MONTH(TODAY()),1),'HISTORIQUE DOCS'!A4:A1000,"&lt;"&amp;DATE(YEAR(TODAY()),MONTH(TODAY())+1,1),'HISTORIQUE DOCS'!C4:C1000,"FACTURE")</f>
        <v/>
      </c>
      <c r="G8" s="31" t="inlineStr">
        <is>
          <t>Documents brouillon</t>
        </is>
      </c>
      <c r="H8" s="31">
        <f>COUNTIF('HISTORIQUE DOCS'!P4:P1000,"BROUILLON")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/>
  <mergeCells count="1">
    <mergeCell ref="A1:H1"/>
  </mergeCells>
  <pageMargins left="0.3" right="0.3" top="0.4" bottom="0.4" header="0.3" footer="0.3"/>
  <pageSetup orientation="landscape" paperSize="9" fitToHeight="0" fitToWidth="1"/>
  <headerFooter>
    <oddHeader/>
    <oddFooter>&amp;L&amp;8 KATANGA TECHCARE&amp;R&amp;8 Page &amp;P /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tabColor rgb="FF4B5563"/>
    <outlinePr summaryBelow="1" summaryRight="1"/>
    <pageSetUpPr fitToPage="1"/>
  </sheetPr>
  <dimension ref="A1:D1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48" customWidth="1" min="2" max="2"/>
  </cols>
  <sheetData>
    <row r="1" ht="26" customHeight="1">
      <c r="A1" s="9" t="inlineStr">
        <is>
          <t>KATANGA TECHCARE — PARAMÈTRES</t>
        </is>
      </c>
      <c r="B1" s="1" t="n"/>
      <c r="C1" s="1" t="n"/>
      <c r="D1" s="1" t="n"/>
    </row>
    <row r="3" ht="24" customHeight="1">
      <c r="A3" s="14" t="inlineStr">
        <is>
          <t>Paramètre</t>
        </is>
      </c>
      <c r="B3" s="14" t="inlineStr">
        <is>
          <t>Valeur</t>
        </is>
      </c>
    </row>
    <row r="4">
      <c r="A4" t="inlineStr">
        <is>
          <t>Entreprise</t>
        </is>
      </c>
      <c r="B4" s="164" t="inlineStr">
        <is>
          <t>KATANGA TECHCARE</t>
        </is>
      </c>
    </row>
    <row r="5">
      <c r="A5" t="inlineStr">
        <is>
          <t>WhatsApp</t>
        </is>
      </c>
      <c r="B5" s="164" t="inlineStr">
        <is>
          <t>+243 826 787 602</t>
        </is>
      </c>
    </row>
    <row r="6">
      <c r="A6" t="inlineStr">
        <is>
          <t>Adresse</t>
        </is>
      </c>
      <c r="B6" s="164" t="inlineStr">
        <is>
          <t>Avenue Mama Yemo n°2254, Commune de Lubumbashi</t>
        </is>
      </c>
    </row>
    <row r="7">
      <c r="A7" t="inlineStr">
        <is>
          <t>Référence</t>
        </is>
      </c>
      <c r="B7" s="164" t="inlineStr">
        <is>
          <t>ANAPI Lubumbashi, Haut-Katanga, RDC</t>
        </is>
      </c>
    </row>
    <row r="8">
      <c r="A8" t="inlineStr">
        <is>
          <t>Devise</t>
        </is>
      </c>
      <c r="B8" s="164" t="inlineStr">
        <is>
          <t>USD</t>
        </is>
      </c>
    </row>
    <row r="9">
      <c r="A9" t="inlineStr">
        <is>
          <t>Marge société par défaut</t>
        </is>
      </c>
      <c r="B9" s="168" t="n">
        <v>0.3</v>
      </c>
    </row>
    <row r="10">
      <c r="A10" t="inlineStr">
        <is>
          <t>Année</t>
        </is>
      </c>
      <c r="B10" s="164" t="n">
        <v>2026</v>
      </c>
    </row>
    <row r="11">
      <c r="A11" t="inlineStr">
        <is>
          <t>Préfixe Facture</t>
        </is>
      </c>
      <c r="B11" s="164" t="inlineStr">
        <is>
          <t>KTC-FAC</t>
        </is>
      </c>
    </row>
    <row r="12">
      <c r="A12" t="inlineStr">
        <is>
          <t>Préfixe Proforma</t>
        </is>
      </c>
      <c r="B12" s="164" t="inlineStr">
        <is>
          <t>KTC-PF</t>
        </is>
      </c>
    </row>
    <row r="13">
      <c r="A13" t="inlineStr">
        <is>
          <t>Statut stock facture</t>
        </is>
      </c>
      <c r="B13" s="164" t="inlineStr">
        <is>
          <t>VALIDÉ</t>
        </is>
      </c>
    </row>
    <row r="14">
      <c r="A14" t="inlineStr">
        <is>
          <t>Statut proforma</t>
        </is>
      </c>
      <c r="B14" s="164" t="inlineStr">
        <is>
          <t>VALIDÉ</t>
        </is>
      </c>
    </row>
    <row r="15">
      <c r="A15" s="1" t="inlineStr">
        <is>
          <t>Conditions de paiement</t>
        </is>
      </c>
      <c r="B15" s="175" t="inlineStr">
        <is>
          <t>50% à la commande / 50% au retrait</t>
        </is>
      </c>
    </row>
    <row r="16">
      <c r="A16" s="1" t="inlineStr">
        <is>
          <t>Validité proforma (jours)</t>
        </is>
      </c>
      <c r="B16" s="175" t="n">
        <v>15</v>
      </c>
    </row>
    <row r="17">
      <c r="A17" s="1" t="inlineStr">
        <is>
          <t>Format d’impression du document</t>
        </is>
      </c>
      <c r="B17" s="175" t="inlineStr">
        <is>
          <t>A5 portrait (1 page)</t>
        </is>
      </c>
    </row>
    <row r="18">
      <c r="A18" s="1" t="inlineStr">
        <is>
          <t>Nombre de lignes article par document</t>
        </is>
      </c>
      <c r="B18" s="175" t="n">
        <v>10</v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/>
  <mergeCells count="1">
    <mergeCell ref="A1:D1"/>
  </mergeCells>
  <pageMargins left="0.3" right="0.3" top="0.4" bottom="0.4" header="0.3" footer="0.3"/>
  <pageSetup orientation="portrait" paperSize="9" fitToHeight="0" fitToWidth="1"/>
  <headerFooter>
    <oddHeader/>
    <oddFooter>&amp;L&amp;8 KATANGA TECHCARE&amp;R&amp;8 Page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2026-09-04T09:47:05Z</dcterms:created>
  <dcterms:modified xsi:type="dcterms:W3CDTF">2026-09-04T09:47:06Z</dcterms:modified>
</cp:coreProperties>
</file>